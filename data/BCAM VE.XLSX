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339705\Desktop\BCAM\"/>
    </mc:Choice>
  </mc:AlternateContent>
  <xr:revisionPtr revIDLastSave="0" documentId="8_{964DD65F-B40A-4B1B-ABEE-D8F403ADE737}" xr6:coauthVersionLast="31" xr6:coauthVersionMax="31" xr10:uidLastSave="{00000000-0000-0000-0000-000000000000}"/>
  <bookViews>
    <workbookView xWindow="0" yWindow="0" windowWidth="24045" windowHeight="9735" xr2:uid="{00000000-000D-0000-FFFF-FFFF00000000}"/>
  </bookViews>
  <sheets>
    <sheet name="2018-FlotaR" sheetId="5" r:id="rId1"/>
    <sheet name="E3-2022-Flota R" sheetId="2" r:id="rId2"/>
    <sheet name="E3-2025-Flota R" sheetId="3" r:id="rId3"/>
    <sheet name="E3-2030-Flota R" sheetId="4" r:id="rId4"/>
  </sheets>
  <definedNames>
    <definedName name="_xlnm._FilterDatabase" localSheetId="0" hidden="1">'2018-FlotaR'!$A$3:$K$55</definedName>
    <definedName name="_xlnm._FilterDatabase" localSheetId="1" hidden="1">'E3-2022-Flota R'!$A$3:$L$55</definedName>
    <definedName name="_xlnm._FilterDatabase" localSheetId="2" hidden="1">'E3-2025-Flota R'!$A$3:$L$3</definedName>
    <definedName name="_xlnm._FilterDatabase" localSheetId="3" hidden="1">'E3-2030-Flota R'!$A$3:$L$3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7" i="4" l="1"/>
  <c r="K57" i="4"/>
  <c r="I57" i="4"/>
  <c r="H57" i="4"/>
  <c r="G57" i="4"/>
  <c r="F57" i="4"/>
  <c r="E57" i="4"/>
  <c r="D57" i="4"/>
  <c r="C57" i="4"/>
  <c r="B57" i="4"/>
  <c r="L57" i="3" l="1"/>
  <c r="K57" i="3"/>
  <c r="I57" i="3"/>
  <c r="H57" i="3"/>
  <c r="G57" i="3"/>
  <c r="F57" i="3"/>
  <c r="E57" i="3"/>
  <c r="D57" i="3"/>
  <c r="C57" i="3"/>
  <c r="B57" i="3"/>
  <c r="L57" i="2" l="1"/>
  <c r="C57" i="2"/>
  <c r="D57" i="2"/>
  <c r="E57" i="2"/>
  <c r="F57" i="2"/>
  <c r="G57" i="2"/>
  <c r="H57" i="2"/>
  <c r="I57" i="2"/>
  <c r="B57" i="2"/>
  <c r="K57" i="2"/>
  <c r="D57" i="5" l="1"/>
  <c r="I57" i="5"/>
  <c r="K57" i="5"/>
  <c r="J57" i="5"/>
  <c r="F57" i="5"/>
  <c r="B57" i="5"/>
  <c r="C57" i="5"/>
  <c r="G57" i="5"/>
  <c r="H57" i="5"/>
  <c r="E57" i="5"/>
  <c r="J57" i="4" l="1"/>
  <c r="J57" i="3"/>
  <c r="J57" i="2"/>
</calcChain>
</file>

<file path=xl/sharedStrings.xml><?xml version="1.0" encoding="utf-8"?>
<sst xmlns="http://schemas.openxmlformats.org/spreadsheetml/2006/main" count="289" uniqueCount="68">
  <si>
    <t>Provincia</t>
  </si>
  <si>
    <t>FURGONETAS</t>
  </si>
  <si>
    <t>PARQUE DE VEHÍCULOS</t>
  </si>
  <si>
    <t>AUTOBUSES</t>
  </si>
  <si>
    <t>CAMIONES</t>
  </si>
  <si>
    <t>MOTOCICLETAS Y CICLOMOTORES</t>
  </si>
  <si>
    <t>TURISMOS</t>
  </si>
  <si>
    <t>TOTAL</t>
  </si>
  <si>
    <t>VE</t>
  </si>
  <si>
    <t>BEV</t>
  </si>
  <si>
    <t>PHEV</t>
  </si>
  <si>
    <t>Barcelona</t>
  </si>
  <si>
    <t>Araba/Álava</t>
  </si>
  <si>
    <t>Balears, Illes</t>
  </si>
  <si>
    <t>Navarra</t>
  </si>
  <si>
    <t>Castellón/Castelló</t>
  </si>
  <si>
    <t>Valladolid</t>
  </si>
  <si>
    <t>Tarragona</t>
  </si>
  <si>
    <t>Girona</t>
  </si>
  <si>
    <t>Murcia</t>
  </si>
  <si>
    <t>Burgos</t>
  </si>
  <si>
    <t>Rioja, La</t>
  </si>
  <si>
    <t>Palencia</t>
  </si>
  <si>
    <t>Soria</t>
  </si>
  <si>
    <t>Palmas, Las</t>
  </si>
  <si>
    <t>Santa Cruz de Tenerife</t>
  </si>
  <si>
    <t>Huesca</t>
  </si>
  <si>
    <t>Teruel</t>
  </si>
  <si>
    <t>Ciudad Real</t>
  </si>
  <si>
    <t>Pontevedra</t>
  </si>
  <si>
    <t>Cantabria</t>
  </si>
  <si>
    <t>Cádiz</t>
  </si>
  <si>
    <t>Salamanca</t>
  </si>
  <si>
    <t>Guadalajara</t>
  </si>
  <si>
    <t>Cuenca</t>
  </si>
  <si>
    <t>Zamora</t>
  </si>
  <si>
    <t>Segovia</t>
  </si>
  <si>
    <t>Lugo</t>
  </si>
  <si>
    <t>Ourense</t>
  </si>
  <si>
    <t>Ceuta</t>
  </si>
  <si>
    <t>Córdoba</t>
  </si>
  <si>
    <t>Almería</t>
  </si>
  <si>
    <t>Toledo</t>
  </si>
  <si>
    <t>Huelva</t>
  </si>
  <si>
    <t>Badajoz</t>
  </si>
  <si>
    <t>Albacete</t>
  </si>
  <si>
    <t>Ávila</t>
  </si>
  <si>
    <t>Melilla</t>
  </si>
  <si>
    <t>TOTALES</t>
  </si>
  <si>
    <r>
      <rPr>
        <sz val="8.5"/>
        <rFont val="Calibri"/>
        <family val="2"/>
      </rPr>
      <t>Cáceres</t>
    </r>
  </si>
  <si>
    <r>
      <rPr>
        <sz val="8.5"/>
        <rFont val="Calibri"/>
        <family val="2"/>
      </rPr>
      <t>Jaén</t>
    </r>
  </si>
  <si>
    <r>
      <rPr>
        <sz val="8.5"/>
        <rFont val="Calibri"/>
        <family val="2"/>
      </rPr>
      <t>León</t>
    </r>
  </si>
  <si>
    <r>
      <rPr>
        <sz val="8.5"/>
        <rFont val="Calibri"/>
        <family val="2"/>
      </rPr>
      <t>Granada</t>
    </r>
  </si>
  <si>
    <r>
      <rPr>
        <sz val="8.5"/>
        <rFont val="Calibri"/>
        <family val="2"/>
      </rPr>
      <t>Málaga</t>
    </r>
  </si>
  <si>
    <r>
      <rPr>
        <sz val="8.5"/>
        <rFont val="Calibri"/>
        <family val="2"/>
      </rPr>
      <t>Sevilla</t>
    </r>
  </si>
  <si>
    <r>
      <rPr>
        <sz val="8.5"/>
        <rFont val="Calibri"/>
        <family val="2"/>
      </rPr>
      <t>Lleida</t>
    </r>
  </si>
  <si>
    <r>
      <rPr>
        <sz val="8.5"/>
        <rFont val="Calibri"/>
        <family val="2"/>
      </rPr>
      <t>A Coruña</t>
    </r>
  </si>
  <si>
    <r>
      <rPr>
        <sz val="8.5"/>
        <rFont val="Calibri"/>
        <family val="2"/>
      </rPr>
      <t>Asturias</t>
    </r>
  </si>
  <si>
    <r>
      <rPr>
        <sz val="8.5"/>
        <rFont val="Calibri"/>
        <family val="2"/>
      </rPr>
      <t>Alicante</t>
    </r>
  </si>
  <si>
    <r>
      <rPr>
        <sz val="8.5"/>
        <rFont val="Calibri"/>
        <family val="2"/>
      </rPr>
      <t>Zaragoza</t>
    </r>
  </si>
  <si>
    <r>
      <rPr>
        <sz val="8.5"/>
        <rFont val="Calibri"/>
        <family val="2"/>
      </rPr>
      <t>Valencia</t>
    </r>
  </si>
  <si>
    <r>
      <rPr>
        <sz val="8.5"/>
        <rFont val="Calibri"/>
        <family val="2"/>
      </rPr>
      <t>Gipuzkoa</t>
    </r>
  </si>
  <si>
    <r>
      <rPr>
        <sz val="8.5"/>
        <rFont val="Calibri"/>
        <family val="2"/>
      </rPr>
      <t>Bizkaia</t>
    </r>
  </si>
  <si>
    <r>
      <rPr>
        <sz val="8.5"/>
        <rFont val="Calibri"/>
        <family val="2"/>
      </rPr>
      <t>Madrid</t>
    </r>
  </si>
  <si>
    <t>Recargas/año interurbanas (80% de la batería)</t>
  </si>
  <si>
    <t>Recargas/año interurbanas 
(80% de la batería)</t>
  </si>
  <si>
    <t>Recargas/año interurbanas
 (80% de la batería)</t>
  </si>
  <si>
    <t>Batería media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</si>
</sst>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8.5"/>
      <color rgb="FF000000"/>
      <name val="Calibri"/>
      <family val="2"/>
    </font>
    <font>
      <sz val="11"/>
      <color indexed="8"/>
      <name val="Calibri"/>
      <family val="2"/>
      <scheme val="minor"/>
    </font>
    <font>
      <sz val="8.5"/>
      <name val="Calibri"/>
      <family val="2"/>
    </font>
    <font>
      <b/>
      <sz val="8.5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b/>
      <sz val="48"/>
      <color rgb="FFFF0000"/>
      <name val="Calibri"/>
      <family val="2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66">
    <xf numFmtId="0" fontId="0" fillId="0" borderId="0" xfId="0"/>
    <xf numFmtId="0" fontId="2" fillId="0" borderId="0" xfId="1" applyAlignment="1">
      <alignment vertical="center"/>
    </xf>
    <xf numFmtId="10" fontId="0" fillId="0" borderId="0" xfId="2" applyNumberFormat="1" applyFont="1" applyAlignment="1">
      <alignment vertical="center"/>
    </xf>
    <xf numFmtId="164" fontId="0" fillId="0" borderId="0" xfId="3" applyNumberFormat="1" applyFont="1" applyAlignment="1">
      <alignment vertical="center"/>
    </xf>
    <xf numFmtId="165" fontId="0" fillId="0" borderId="0" xfId="2" applyNumberFormat="1" applyFont="1" applyAlignment="1">
      <alignment vertical="center"/>
    </xf>
    <xf numFmtId="2" fontId="2" fillId="0" borderId="0" xfId="1" applyNumberFormat="1" applyAlignment="1">
      <alignment vertical="center"/>
    </xf>
    <xf numFmtId="165" fontId="2" fillId="0" borderId="0" xfId="1" applyNumberFormat="1" applyAlignment="1">
      <alignment vertical="center"/>
    </xf>
    <xf numFmtId="10" fontId="3" fillId="0" borderId="0" xfId="2" applyNumberFormat="1" applyFont="1" applyAlignment="1">
      <alignment vertical="center"/>
    </xf>
    <xf numFmtId="10" fontId="2" fillId="0" borderId="0" xfId="1" applyNumberFormat="1" applyAlignment="1">
      <alignment vertical="center"/>
    </xf>
    <xf numFmtId="0" fontId="1" fillId="0" borderId="0" xfId="1" applyFont="1" applyAlignment="1">
      <alignment vertical="center"/>
    </xf>
    <xf numFmtId="164" fontId="2" fillId="0" borderId="0" xfId="1" applyNumberFormat="1" applyAlignment="1">
      <alignment vertical="center"/>
    </xf>
    <xf numFmtId="0" fontId="3" fillId="0" borderId="0" xfId="1" applyFont="1" applyAlignment="1">
      <alignment vertical="center"/>
    </xf>
    <xf numFmtId="164" fontId="3" fillId="0" borderId="1" xfId="1" applyNumberFormat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164" fontId="2" fillId="0" borderId="1" xfId="1" applyNumberFormat="1" applyBorder="1" applyAlignment="1">
      <alignment vertical="center"/>
    </xf>
    <xf numFmtId="164" fontId="0" fillId="0" borderId="1" xfId="3" applyNumberFormat="1" applyFont="1" applyBorder="1" applyAlignment="1">
      <alignment vertical="center"/>
    </xf>
    <xf numFmtId="0" fontId="4" fillId="0" borderId="3" xfId="1" applyFont="1" applyBorder="1" applyAlignment="1">
      <alignment horizontal="left" vertical="center" wrapText="1"/>
    </xf>
    <xf numFmtId="9" fontId="2" fillId="0" borderId="0" xfId="1" applyNumberFormat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2" fillId="0" borderId="0" xfId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2" fillId="0" borderId="0" xfId="1"/>
    <xf numFmtId="9" fontId="3" fillId="0" borderId="0" xfId="2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0" fontId="4" fillId="0" borderId="6" xfId="1" applyFont="1" applyBorder="1" applyAlignment="1">
      <alignment horizontal="left" vertical="center" wrapText="1"/>
    </xf>
    <xf numFmtId="164" fontId="0" fillId="0" borderId="5" xfId="3" applyNumberFormat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164" fontId="3" fillId="0" borderId="8" xfId="1" applyNumberFormat="1" applyFont="1" applyBorder="1" applyAlignment="1">
      <alignment vertical="center"/>
    </xf>
    <xf numFmtId="164" fontId="3" fillId="0" borderId="9" xfId="1" applyNumberFormat="1" applyFont="1" applyBorder="1" applyAlignment="1">
      <alignment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  <xf numFmtId="0" fontId="2" fillId="0" borderId="0" xfId="1" applyBorder="1" applyAlignment="1">
      <alignment vertical="center"/>
    </xf>
    <xf numFmtId="164" fontId="3" fillId="0" borderId="13" xfId="1" applyNumberFormat="1" applyFont="1" applyBorder="1" applyAlignment="1">
      <alignment vertical="center"/>
    </xf>
    <xf numFmtId="164" fontId="3" fillId="0" borderId="16" xfId="1" applyNumberFormat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0" fontId="11" fillId="3" borderId="1" xfId="1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9" fillId="3" borderId="7" xfId="4" applyFont="1" applyFill="1" applyBorder="1" applyAlignment="1">
      <alignment horizontal="center" vertical="center" wrapText="1"/>
    </xf>
    <xf numFmtId="0" fontId="9" fillId="3" borderId="8" xfId="4" applyFont="1" applyFill="1" applyBorder="1" applyAlignment="1">
      <alignment horizontal="center" vertical="center" wrapText="1"/>
    </xf>
    <xf numFmtId="0" fontId="11" fillId="3" borderId="10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11" fillId="3" borderId="12" xfId="1" applyFont="1" applyFill="1" applyBorder="1" applyAlignment="1">
      <alignment horizontal="center" vertical="center"/>
    </xf>
    <xf numFmtId="0" fontId="9" fillId="3" borderId="13" xfId="4" applyFont="1" applyFill="1" applyBorder="1" applyAlignment="1">
      <alignment horizontal="center" vertical="center" wrapText="1"/>
    </xf>
    <xf numFmtId="0" fontId="9" fillId="3" borderId="11" xfId="4" applyFont="1" applyFill="1" applyBorder="1" applyAlignment="1">
      <alignment horizontal="center" vertical="center" wrapText="1"/>
    </xf>
    <xf numFmtId="0" fontId="9" fillId="3" borderId="12" xfId="4" applyFont="1" applyFill="1" applyBorder="1" applyAlignment="1">
      <alignment horizontal="center" vertical="center" wrapText="1"/>
    </xf>
    <xf numFmtId="9" fontId="3" fillId="0" borderId="0" xfId="2" applyFont="1" applyAlignment="1">
      <alignment horizontal="center" vertical="center"/>
    </xf>
  </cellXfs>
  <cellStyles count="5">
    <cellStyle name="Millares 2" xfId="3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Porcentaje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4"/>
  <sheetViews>
    <sheetView tabSelected="1" zoomScale="90" zoomScaleNormal="9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3" sqref="B1:G1048576"/>
    </sheetView>
  </sheetViews>
  <sheetFormatPr baseColWidth="10" defaultColWidth="11.42578125" defaultRowHeight="15" x14ac:dyDescent="0.25"/>
  <cols>
    <col min="1" max="1" width="25.28515625" style="1" bestFit="1" customWidth="1"/>
    <col min="2" max="2" width="14.5703125" style="1" hidden="1" customWidth="1"/>
    <col min="3" max="3" width="10.140625" style="1" hidden="1" customWidth="1"/>
    <col min="4" max="4" width="15.5703125" style="1" hidden="1" customWidth="1"/>
    <col min="5" max="5" width="11.7109375" style="1" hidden="1" customWidth="1"/>
    <col min="6" max="6" width="15.5703125" style="1" hidden="1" customWidth="1"/>
    <col min="7" max="7" width="12.85546875" style="1" hidden="1" customWidth="1"/>
    <col min="8" max="8" width="15.5703125" style="1" customWidth="1"/>
    <col min="9" max="9" width="11.7109375" style="1" customWidth="1"/>
    <col min="10" max="10" width="16.5703125" style="1" customWidth="1"/>
    <col min="11" max="11" width="12.85546875" style="1" customWidth="1"/>
    <col min="12" max="13" width="11.42578125" style="1"/>
    <col min="14" max="14" width="11.42578125" style="27"/>
    <col min="15" max="15" width="27.42578125" style="1" bestFit="1" customWidth="1"/>
    <col min="16" max="16384" width="11.42578125" style="1"/>
  </cols>
  <sheetData>
    <row r="1" spans="1:11" ht="26.25" customHeight="1" x14ac:dyDescent="0.25">
      <c r="A1" s="51">
        <v>2018</v>
      </c>
      <c r="B1" s="53" t="s">
        <v>2</v>
      </c>
      <c r="C1" s="53"/>
      <c r="D1" s="53"/>
      <c r="E1" s="53"/>
      <c r="F1" s="53"/>
      <c r="G1" s="53"/>
      <c r="H1" s="53"/>
      <c r="I1" s="53"/>
      <c r="J1" s="53"/>
      <c r="K1" s="53"/>
    </row>
    <row r="2" spans="1:11" ht="60" customHeight="1" thickBot="1" x14ac:dyDescent="0.3">
      <c r="A2" s="52"/>
      <c r="B2" s="54" t="s">
        <v>3</v>
      </c>
      <c r="C2" s="54"/>
      <c r="D2" s="54" t="s">
        <v>4</v>
      </c>
      <c r="E2" s="54"/>
      <c r="F2" s="54" t="s">
        <v>5</v>
      </c>
      <c r="G2" s="54"/>
      <c r="H2" s="54" t="s">
        <v>1</v>
      </c>
      <c r="I2" s="54"/>
      <c r="J2" s="54" t="s">
        <v>6</v>
      </c>
      <c r="K2" s="54"/>
    </row>
    <row r="3" spans="1:11" x14ac:dyDescent="0.25">
      <c r="A3" s="24" t="s">
        <v>0</v>
      </c>
      <c r="B3" s="30" t="s">
        <v>7</v>
      </c>
      <c r="C3" s="30" t="s">
        <v>8</v>
      </c>
      <c r="D3" s="30" t="s">
        <v>7</v>
      </c>
      <c r="E3" s="30" t="s">
        <v>8</v>
      </c>
      <c r="F3" s="30" t="s">
        <v>7</v>
      </c>
      <c r="G3" s="30" t="s">
        <v>8</v>
      </c>
      <c r="H3" s="30" t="s">
        <v>7</v>
      </c>
      <c r="I3" s="30" t="s">
        <v>8</v>
      </c>
      <c r="J3" s="30" t="s">
        <v>7</v>
      </c>
      <c r="K3" s="30" t="s">
        <v>8</v>
      </c>
    </row>
    <row r="4" spans="1:11" ht="15" customHeight="1" x14ac:dyDescent="0.25">
      <c r="A4" s="18" t="s">
        <v>63</v>
      </c>
      <c r="B4" s="15">
        <v>11050</v>
      </c>
      <c r="C4" s="15">
        <v>106</v>
      </c>
      <c r="D4" s="15">
        <v>260832</v>
      </c>
      <c r="E4" s="15">
        <v>444</v>
      </c>
      <c r="F4" s="15">
        <v>459159</v>
      </c>
      <c r="G4" s="15">
        <v>5337</v>
      </c>
      <c r="H4" s="15">
        <v>394511</v>
      </c>
      <c r="I4" s="15">
        <v>1817</v>
      </c>
      <c r="J4" s="15">
        <v>3761313</v>
      </c>
      <c r="K4" s="15">
        <v>12902</v>
      </c>
    </row>
    <row r="5" spans="1:11" ht="15" customHeight="1" x14ac:dyDescent="0.25">
      <c r="A5" s="18" t="s">
        <v>62</v>
      </c>
      <c r="B5" s="15">
        <v>1958</v>
      </c>
      <c r="C5" s="15">
        <v>9</v>
      </c>
      <c r="D5" s="15">
        <v>47187</v>
      </c>
      <c r="E5" s="15">
        <v>74</v>
      </c>
      <c r="F5" s="15">
        <v>72931</v>
      </c>
      <c r="G5" s="15">
        <v>300</v>
      </c>
      <c r="H5" s="15">
        <v>38619</v>
      </c>
      <c r="I5" s="15">
        <v>84</v>
      </c>
      <c r="J5" s="15">
        <v>519107</v>
      </c>
      <c r="K5" s="15">
        <v>397</v>
      </c>
    </row>
    <row r="6" spans="1:11" ht="15" customHeight="1" x14ac:dyDescent="0.25">
      <c r="A6" s="23" t="s">
        <v>11</v>
      </c>
      <c r="B6" s="15">
        <v>6492</v>
      </c>
      <c r="C6" s="15">
        <v>44</v>
      </c>
      <c r="D6" s="15">
        <v>236274</v>
      </c>
      <c r="E6" s="15">
        <v>589</v>
      </c>
      <c r="F6" s="15">
        <v>809136</v>
      </c>
      <c r="G6" s="15">
        <v>6645</v>
      </c>
      <c r="H6" s="15">
        <v>247085</v>
      </c>
      <c r="I6" s="15">
        <v>613</v>
      </c>
      <c r="J6" s="15">
        <v>2477502</v>
      </c>
      <c r="K6" s="15">
        <v>3648</v>
      </c>
    </row>
    <row r="7" spans="1:11" ht="15" customHeight="1" x14ac:dyDescent="0.25">
      <c r="A7" s="19" t="s">
        <v>61</v>
      </c>
      <c r="B7" s="15">
        <v>974</v>
      </c>
      <c r="C7" s="15">
        <v>10</v>
      </c>
      <c r="D7" s="15">
        <v>32491</v>
      </c>
      <c r="E7" s="15">
        <v>26</v>
      </c>
      <c r="F7" s="15">
        <v>78035</v>
      </c>
      <c r="G7" s="15">
        <v>123</v>
      </c>
      <c r="H7" s="15">
        <v>29736</v>
      </c>
      <c r="I7" s="15">
        <v>21</v>
      </c>
      <c r="J7" s="15">
        <v>325598</v>
      </c>
      <c r="K7" s="15">
        <v>192</v>
      </c>
    </row>
    <row r="8" spans="1:11" ht="15" customHeight="1" x14ac:dyDescent="0.25">
      <c r="A8" s="19" t="s">
        <v>12</v>
      </c>
      <c r="B8" s="15">
        <v>539</v>
      </c>
      <c r="C8" s="15">
        <v>5</v>
      </c>
      <c r="D8" s="15">
        <v>14472</v>
      </c>
      <c r="E8" s="15">
        <v>17</v>
      </c>
      <c r="F8" s="15">
        <v>21606</v>
      </c>
      <c r="G8" s="15">
        <v>35</v>
      </c>
      <c r="H8" s="15">
        <v>14744</v>
      </c>
      <c r="I8" s="15">
        <v>22</v>
      </c>
      <c r="J8" s="15">
        <v>158009</v>
      </c>
      <c r="K8" s="15">
        <v>113</v>
      </c>
    </row>
    <row r="9" spans="1:11" ht="15" customHeight="1" x14ac:dyDescent="0.25">
      <c r="A9" s="20" t="s">
        <v>13</v>
      </c>
      <c r="B9" s="15">
        <v>2733</v>
      </c>
      <c r="C9" s="15">
        <v>0</v>
      </c>
      <c r="D9" s="15">
        <v>87535</v>
      </c>
      <c r="E9" s="15">
        <v>56</v>
      </c>
      <c r="F9" s="15">
        <v>224072</v>
      </c>
      <c r="G9" s="15">
        <v>847</v>
      </c>
      <c r="H9" s="15">
        <v>56756</v>
      </c>
      <c r="I9" s="15">
        <v>139</v>
      </c>
      <c r="J9" s="15">
        <v>722973</v>
      </c>
      <c r="K9" s="15">
        <v>870</v>
      </c>
    </row>
    <row r="10" spans="1:11" ht="15" customHeight="1" x14ac:dyDescent="0.25">
      <c r="A10" s="22" t="s">
        <v>60</v>
      </c>
      <c r="B10" s="15">
        <v>2426</v>
      </c>
      <c r="C10" s="15">
        <v>23</v>
      </c>
      <c r="D10" s="15">
        <v>138645</v>
      </c>
      <c r="E10" s="15">
        <v>49</v>
      </c>
      <c r="F10" s="15">
        <v>312462</v>
      </c>
      <c r="G10" s="15">
        <v>820</v>
      </c>
      <c r="H10" s="15">
        <v>87578</v>
      </c>
      <c r="I10" s="15">
        <v>92</v>
      </c>
      <c r="J10" s="15">
        <v>1259421</v>
      </c>
      <c r="K10" s="15">
        <v>658</v>
      </c>
    </row>
    <row r="11" spans="1:11" ht="15" customHeight="1" x14ac:dyDescent="0.25">
      <c r="A11" s="21" t="s">
        <v>14</v>
      </c>
      <c r="B11" s="15">
        <v>849</v>
      </c>
      <c r="C11" s="15">
        <v>7</v>
      </c>
      <c r="D11" s="15">
        <v>37800</v>
      </c>
      <c r="E11" s="15">
        <v>22</v>
      </c>
      <c r="F11" s="15">
        <v>54530</v>
      </c>
      <c r="G11" s="15">
        <v>154</v>
      </c>
      <c r="H11" s="15">
        <v>38989</v>
      </c>
      <c r="I11" s="15">
        <v>30</v>
      </c>
      <c r="J11" s="15">
        <v>326303</v>
      </c>
      <c r="K11" s="15">
        <v>175</v>
      </c>
    </row>
    <row r="12" spans="1:11" ht="15" customHeight="1" x14ac:dyDescent="0.25">
      <c r="A12" s="19" t="s">
        <v>15</v>
      </c>
      <c r="B12" s="15">
        <v>525</v>
      </c>
      <c r="C12" s="15">
        <v>9</v>
      </c>
      <c r="D12" s="15">
        <v>39271</v>
      </c>
      <c r="E12" s="15">
        <v>9</v>
      </c>
      <c r="F12" s="15">
        <v>68886</v>
      </c>
      <c r="G12" s="15">
        <v>91</v>
      </c>
      <c r="H12" s="15">
        <v>32691</v>
      </c>
      <c r="I12" s="15">
        <v>34</v>
      </c>
      <c r="J12" s="15">
        <v>308605</v>
      </c>
      <c r="K12" s="15">
        <v>122</v>
      </c>
    </row>
    <row r="13" spans="1:11" ht="15" customHeight="1" x14ac:dyDescent="0.25">
      <c r="A13" s="19" t="s">
        <v>16</v>
      </c>
      <c r="B13" s="15">
        <v>618</v>
      </c>
      <c r="C13" s="15">
        <v>11</v>
      </c>
      <c r="D13" s="15">
        <v>22938</v>
      </c>
      <c r="E13" s="15">
        <v>4</v>
      </c>
      <c r="F13" s="15">
        <v>41724</v>
      </c>
      <c r="G13" s="15">
        <v>93</v>
      </c>
      <c r="H13" s="15">
        <v>17154</v>
      </c>
      <c r="I13" s="15">
        <v>31</v>
      </c>
      <c r="J13" s="15">
        <v>265225</v>
      </c>
      <c r="K13" s="15">
        <v>159</v>
      </c>
    </row>
    <row r="14" spans="1:11" ht="15" customHeight="1" x14ac:dyDescent="0.25">
      <c r="A14" s="18" t="s">
        <v>59</v>
      </c>
      <c r="B14" s="15">
        <v>1039</v>
      </c>
      <c r="C14" s="15">
        <v>0</v>
      </c>
      <c r="D14" s="15">
        <v>41014</v>
      </c>
      <c r="E14" s="15">
        <v>30</v>
      </c>
      <c r="F14" s="15">
        <v>85009</v>
      </c>
      <c r="G14" s="15">
        <v>153</v>
      </c>
      <c r="H14" s="15">
        <v>41045</v>
      </c>
      <c r="I14" s="15">
        <v>35</v>
      </c>
      <c r="J14" s="15">
        <v>417757</v>
      </c>
      <c r="K14" s="15">
        <v>243</v>
      </c>
    </row>
    <row r="15" spans="1:11" ht="15" customHeight="1" x14ac:dyDescent="0.25">
      <c r="A15" s="21" t="s">
        <v>17</v>
      </c>
      <c r="B15" s="15">
        <v>1168</v>
      </c>
      <c r="C15" s="15">
        <v>0</v>
      </c>
      <c r="D15" s="15">
        <v>51477</v>
      </c>
      <c r="E15" s="15">
        <v>43</v>
      </c>
      <c r="F15" s="15">
        <v>110436</v>
      </c>
      <c r="G15" s="15">
        <v>252</v>
      </c>
      <c r="H15" s="15">
        <v>48797</v>
      </c>
      <c r="I15" s="15">
        <v>37</v>
      </c>
      <c r="J15" s="15">
        <v>409960</v>
      </c>
      <c r="K15" s="15">
        <v>313</v>
      </c>
    </row>
    <row r="16" spans="1:11" ht="15" customHeight="1" x14ac:dyDescent="0.25">
      <c r="A16" s="19" t="s">
        <v>18</v>
      </c>
      <c r="B16" s="15">
        <v>1176</v>
      </c>
      <c r="C16" s="15">
        <v>3</v>
      </c>
      <c r="D16" s="15">
        <v>50921</v>
      </c>
      <c r="E16" s="15">
        <v>33</v>
      </c>
      <c r="F16" s="15">
        <v>135980</v>
      </c>
      <c r="G16" s="15">
        <v>303</v>
      </c>
      <c r="H16" s="15">
        <v>62492</v>
      </c>
      <c r="I16" s="15">
        <v>61</v>
      </c>
      <c r="J16" s="15">
        <v>412093</v>
      </c>
      <c r="K16" s="15">
        <v>362</v>
      </c>
    </row>
    <row r="17" spans="1:11" ht="15" customHeight="1" x14ac:dyDescent="0.25">
      <c r="A17" s="18" t="s">
        <v>58</v>
      </c>
      <c r="B17" s="15">
        <v>1645</v>
      </c>
      <c r="C17" s="15">
        <v>1</v>
      </c>
      <c r="D17" s="15">
        <v>99969</v>
      </c>
      <c r="E17" s="15">
        <v>34</v>
      </c>
      <c r="F17" s="15">
        <v>250440</v>
      </c>
      <c r="G17" s="15">
        <v>517</v>
      </c>
      <c r="H17" s="15">
        <v>78022</v>
      </c>
      <c r="I17" s="15">
        <v>72</v>
      </c>
      <c r="J17" s="15">
        <v>998587</v>
      </c>
      <c r="K17" s="15">
        <v>476</v>
      </c>
    </row>
    <row r="18" spans="1:11" ht="15" customHeight="1" x14ac:dyDescent="0.25">
      <c r="A18" s="18" t="s">
        <v>19</v>
      </c>
      <c r="B18" s="15">
        <v>1880</v>
      </c>
      <c r="C18" s="15">
        <v>0</v>
      </c>
      <c r="D18" s="15">
        <v>86373</v>
      </c>
      <c r="E18" s="15">
        <v>37</v>
      </c>
      <c r="F18" s="15">
        <v>207133</v>
      </c>
      <c r="G18" s="15">
        <v>582</v>
      </c>
      <c r="H18" s="15">
        <v>66876</v>
      </c>
      <c r="I18" s="15">
        <v>34</v>
      </c>
      <c r="J18" s="15">
        <v>759387</v>
      </c>
      <c r="K18" s="15">
        <v>307</v>
      </c>
    </row>
    <row r="19" spans="1:11" ht="15" customHeight="1" x14ac:dyDescent="0.25">
      <c r="A19" s="18" t="s">
        <v>57</v>
      </c>
      <c r="B19" s="15">
        <v>1456</v>
      </c>
      <c r="C19" s="15">
        <v>0</v>
      </c>
      <c r="D19" s="15">
        <v>40405</v>
      </c>
      <c r="E19" s="15">
        <v>19</v>
      </c>
      <c r="F19" s="15">
        <v>81507</v>
      </c>
      <c r="G19" s="15">
        <v>93</v>
      </c>
      <c r="H19" s="15">
        <v>46945</v>
      </c>
      <c r="I19" s="15">
        <v>30</v>
      </c>
      <c r="J19" s="15">
        <v>516378</v>
      </c>
      <c r="K19" s="15">
        <v>233</v>
      </c>
    </row>
    <row r="20" spans="1:11" ht="15" customHeight="1" x14ac:dyDescent="0.25">
      <c r="A20" s="19" t="s">
        <v>20</v>
      </c>
      <c r="B20" s="15">
        <v>478</v>
      </c>
      <c r="C20" s="15">
        <v>1</v>
      </c>
      <c r="D20" s="15">
        <v>18629</v>
      </c>
      <c r="E20" s="15">
        <v>2</v>
      </c>
      <c r="F20" s="15">
        <v>25041</v>
      </c>
      <c r="G20" s="15">
        <v>33</v>
      </c>
      <c r="H20" s="15">
        <v>19226</v>
      </c>
      <c r="I20" s="15">
        <v>18</v>
      </c>
      <c r="J20" s="15">
        <v>190564</v>
      </c>
      <c r="K20" s="15">
        <v>104</v>
      </c>
    </row>
    <row r="21" spans="1:11" ht="15" customHeight="1" x14ac:dyDescent="0.25">
      <c r="A21" s="19" t="s">
        <v>21</v>
      </c>
      <c r="B21" s="15">
        <v>263</v>
      </c>
      <c r="C21" s="15">
        <v>0</v>
      </c>
      <c r="D21" s="15">
        <v>20606</v>
      </c>
      <c r="E21" s="15">
        <v>4</v>
      </c>
      <c r="F21" s="15">
        <v>25868</v>
      </c>
      <c r="G21" s="15">
        <v>92</v>
      </c>
      <c r="H21" s="15">
        <v>17460</v>
      </c>
      <c r="I21" s="15">
        <v>12</v>
      </c>
      <c r="J21" s="15">
        <v>147604</v>
      </c>
      <c r="K21" s="15">
        <v>54</v>
      </c>
    </row>
    <row r="22" spans="1:11" ht="15" customHeight="1" x14ac:dyDescent="0.25">
      <c r="A22" s="18" t="s">
        <v>22</v>
      </c>
      <c r="B22" s="15">
        <v>266</v>
      </c>
      <c r="C22" s="15">
        <v>3</v>
      </c>
      <c r="D22" s="15">
        <v>8265</v>
      </c>
      <c r="E22" s="15">
        <v>2</v>
      </c>
      <c r="F22" s="15">
        <v>12676</v>
      </c>
      <c r="G22" s="15">
        <v>13</v>
      </c>
      <c r="H22" s="15">
        <v>9355</v>
      </c>
      <c r="I22" s="15">
        <v>8</v>
      </c>
      <c r="J22" s="15">
        <v>92423</v>
      </c>
      <c r="K22" s="15">
        <v>21</v>
      </c>
    </row>
    <row r="23" spans="1:11" ht="15" customHeight="1" x14ac:dyDescent="0.25">
      <c r="A23" s="18" t="s">
        <v>23</v>
      </c>
      <c r="B23" s="15">
        <v>106</v>
      </c>
      <c r="C23" s="15">
        <v>0</v>
      </c>
      <c r="D23" s="15">
        <v>6561</v>
      </c>
      <c r="E23" s="15">
        <v>3</v>
      </c>
      <c r="F23" s="15">
        <v>7515</v>
      </c>
      <c r="G23" s="15">
        <v>3</v>
      </c>
      <c r="H23" s="15">
        <v>7405</v>
      </c>
      <c r="I23" s="15">
        <v>3</v>
      </c>
      <c r="J23" s="15">
        <v>49061</v>
      </c>
      <c r="K23" s="15">
        <v>17</v>
      </c>
    </row>
    <row r="24" spans="1:11" ht="15" customHeight="1" x14ac:dyDescent="0.25">
      <c r="A24" s="18" t="s">
        <v>56</v>
      </c>
      <c r="B24" s="15">
        <v>1663</v>
      </c>
      <c r="C24" s="15">
        <v>3</v>
      </c>
      <c r="D24" s="15">
        <v>48357</v>
      </c>
      <c r="E24" s="15">
        <v>4</v>
      </c>
      <c r="F24" s="15">
        <v>84392</v>
      </c>
      <c r="G24" s="15">
        <v>105</v>
      </c>
      <c r="H24" s="15">
        <v>37627</v>
      </c>
      <c r="I24" s="15">
        <v>25</v>
      </c>
      <c r="J24" s="15">
        <v>618312</v>
      </c>
      <c r="K24" s="15">
        <v>226</v>
      </c>
    </row>
    <row r="25" spans="1:11" ht="15" customHeight="1" x14ac:dyDescent="0.25">
      <c r="A25" s="18" t="s">
        <v>24</v>
      </c>
      <c r="B25" s="15">
        <v>3026</v>
      </c>
      <c r="C25" s="15">
        <v>3</v>
      </c>
      <c r="D25" s="15">
        <v>117083</v>
      </c>
      <c r="E25" s="15">
        <v>52</v>
      </c>
      <c r="F25" s="15">
        <v>96539</v>
      </c>
      <c r="G25" s="15">
        <v>341</v>
      </c>
      <c r="H25" s="15">
        <v>68292</v>
      </c>
      <c r="I25" s="15">
        <v>68</v>
      </c>
      <c r="J25" s="15">
        <v>591084</v>
      </c>
      <c r="K25" s="15">
        <v>522</v>
      </c>
    </row>
    <row r="26" spans="1:11" ht="15" customHeight="1" x14ac:dyDescent="0.25">
      <c r="A26" s="18" t="s">
        <v>25</v>
      </c>
      <c r="B26" s="15">
        <v>2950</v>
      </c>
      <c r="C26" s="15">
        <v>1</v>
      </c>
      <c r="D26" s="15">
        <v>110666</v>
      </c>
      <c r="E26" s="15">
        <v>7</v>
      </c>
      <c r="F26" s="15">
        <v>90835</v>
      </c>
      <c r="G26" s="15">
        <v>215</v>
      </c>
      <c r="H26" s="15">
        <v>73954</v>
      </c>
      <c r="I26" s="15">
        <v>67</v>
      </c>
      <c r="J26" s="15">
        <v>559529</v>
      </c>
      <c r="K26" s="15">
        <v>357</v>
      </c>
    </row>
    <row r="27" spans="1:11" ht="15" customHeight="1" x14ac:dyDescent="0.25">
      <c r="A27" s="19" t="s">
        <v>55</v>
      </c>
      <c r="B27" s="15">
        <v>522</v>
      </c>
      <c r="C27" s="15">
        <v>0</v>
      </c>
      <c r="D27" s="15">
        <v>35877</v>
      </c>
      <c r="E27" s="15">
        <v>2</v>
      </c>
      <c r="F27" s="15">
        <v>49109</v>
      </c>
      <c r="G27" s="15">
        <v>61</v>
      </c>
      <c r="H27" s="15">
        <v>28632</v>
      </c>
      <c r="I27" s="15">
        <v>16</v>
      </c>
      <c r="J27" s="15">
        <v>228604</v>
      </c>
      <c r="K27" s="15">
        <v>135</v>
      </c>
    </row>
    <row r="28" spans="1:11" ht="15" customHeight="1" x14ac:dyDescent="0.25">
      <c r="A28" s="18" t="s">
        <v>26</v>
      </c>
      <c r="B28" s="15">
        <v>376</v>
      </c>
      <c r="C28" s="15">
        <v>0</v>
      </c>
      <c r="D28" s="15">
        <v>20200</v>
      </c>
      <c r="E28" s="15">
        <v>3</v>
      </c>
      <c r="F28" s="15">
        <v>23632</v>
      </c>
      <c r="G28" s="15">
        <v>17</v>
      </c>
      <c r="H28" s="15">
        <v>17321</v>
      </c>
      <c r="I28" s="15">
        <v>8</v>
      </c>
      <c r="J28" s="15">
        <v>117143</v>
      </c>
      <c r="K28" s="15">
        <v>59</v>
      </c>
    </row>
    <row r="29" spans="1:11" ht="15" customHeight="1" x14ac:dyDescent="0.25">
      <c r="A29" s="18" t="s">
        <v>27</v>
      </c>
      <c r="B29" s="15">
        <v>93</v>
      </c>
      <c r="C29" s="15">
        <v>0</v>
      </c>
      <c r="D29" s="15">
        <v>12307</v>
      </c>
      <c r="E29" s="15">
        <v>1</v>
      </c>
      <c r="F29" s="15">
        <v>15576</v>
      </c>
      <c r="G29" s="15">
        <v>4</v>
      </c>
      <c r="H29" s="15">
        <v>12139</v>
      </c>
      <c r="I29" s="15">
        <v>2</v>
      </c>
      <c r="J29" s="15">
        <v>73581</v>
      </c>
      <c r="K29" s="15">
        <v>15</v>
      </c>
    </row>
    <row r="30" spans="1:11" ht="15" customHeight="1" x14ac:dyDescent="0.25">
      <c r="A30" s="19" t="s">
        <v>28</v>
      </c>
      <c r="B30" s="15">
        <v>526</v>
      </c>
      <c r="C30" s="15">
        <v>0</v>
      </c>
      <c r="D30" s="15">
        <v>36933</v>
      </c>
      <c r="E30" s="15">
        <v>1</v>
      </c>
      <c r="F30" s="15">
        <v>59050</v>
      </c>
      <c r="G30" s="15">
        <v>35</v>
      </c>
      <c r="H30" s="15">
        <v>32177</v>
      </c>
      <c r="I30" s="15">
        <v>7</v>
      </c>
      <c r="J30" s="15">
        <v>247927</v>
      </c>
      <c r="K30" s="15">
        <v>61</v>
      </c>
    </row>
    <row r="31" spans="1:11" ht="15" customHeight="1" x14ac:dyDescent="0.25">
      <c r="A31" s="18" t="s">
        <v>29</v>
      </c>
      <c r="B31" s="15">
        <v>1259</v>
      </c>
      <c r="C31" s="15">
        <v>0</v>
      </c>
      <c r="D31" s="15">
        <v>46946</v>
      </c>
      <c r="E31" s="15">
        <v>7</v>
      </c>
      <c r="F31" s="15">
        <v>114793</v>
      </c>
      <c r="G31" s="15">
        <v>124</v>
      </c>
      <c r="H31" s="15">
        <v>36131</v>
      </c>
      <c r="I31" s="15">
        <v>32</v>
      </c>
      <c r="J31" s="15">
        <v>533854</v>
      </c>
      <c r="K31" s="15">
        <v>253</v>
      </c>
    </row>
    <row r="32" spans="1:11" ht="15" customHeight="1" x14ac:dyDescent="0.25">
      <c r="A32" s="19" t="s">
        <v>30</v>
      </c>
      <c r="B32" s="15">
        <v>633</v>
      </c>
      <c r="C32" s="15">
        <v>0</v>
      </c>
      <c r="D32" s="15">
        <v>31121</v>
      </c>
      <c r="E32" s="15">
        <v>13</v>
      </c>
      <c r="F32" s="15">
        <v>56691</v>
      </c>
      <c r="G32" s="15">
        <v>102</v>
      </c>
      <c r="H32" s="15">
        <v>25169</v>
      </c>
      <c r="I32" s="15">
        <v>26</v>
      </c>
      <c r="J32" s="15">
        <v>305524</v>
      </c>
      <c r="K32" s="15">
        <v>118</v>
      </c>
    </row>
    <row r="33" spans="1:11" ht="15" customHeight="1" x14ac:dyDescent="0.25">
      <c r="A33" s="18" t="s">
        <v>54</v>
      </c>
      <c r="B33" s="15">
        <v>2112</v>
      </c>
      <c r="C33" s="15">
        <v>5</v>
      </c>
      <c r="D33" s="15">
        <v>94691</v>
      </c>
      <c r="E33" s="15">
        <v>50</v>
      </c>
      <c r="F33" s="15">
        <v>261542</v>
      </c>
      <c r="G33" s="15">
        <v>399</v>
      </c>
      <c r="H33" s="15">
        <v>55532</v>
      </c>
      <c r="I33" s="15">
        <v>56</v>
      </c>
      <c r="J33" s="15">
        <v>932727</v>
      </c>
      <c r="K33" s="15">
        <v>427</v>
      </c>
    </row>
    <row r="34" spans="1:11" ht="15" customHeight="1" x14ac:dyDescent="0.25">
      <c r="A34" s="18" t="s">
        <v>53</v>
      </c>
      <c r="B34" s="15">
        <v>1931</v>
      </c>
      <c r="C34" s="15">
        <v>1</v>
      </c>
      <c r="D34" s="15">
        <v>85599</v>
      </c>
      <c r="E34" s="15">
        <v>16</v>
      </c>
      <c r="F34" s="15">
        <v>267210</v>
      </c>
      <c r="G34" s="15">
        <v>577</v>
      </c>
      <c r="H34" s="15">
        <v>88347</v>
      </c>
      <c r="I34" s="15">
        <v>45</v>
      </c>
      <c r="J34" s="15">
        <v>829677</v>
      </c>
      <c r="K34" s="15">
        <v>506</v>
      </c>
    </row>
    <row r="35" spans="1:11" x14ac:dyDescent="0.25">
      <c r="A35" s="20" t="s">
        <v>31</v>
      </c>
      <c r="B35" s="15">
        <v>1100</v>
      </c>
      <c r="C35" s="15">
        <v>0</v>
      </c>
      <c r="D35" s="15">
        <v>55396</v>
      </c>
      <c r="E35" s="15">
        <v>24</v>
      </c>
      <c r="F35" s="15">
        <v>209115</v>
      </c>
      <c r="G35" s="15">
        <v>2436</v>
      </c>
      <c r="H35" s="15">
        <v>36791</v>
      </c>
      <c r="I35" s="15">
        <v>29</v>
      </c>
      <c r="J35" s="15">
        <v>572094</v>
      </c>
      <c r="K35" s="15">
        <v>138</v>
      </c>
    </row>
    <row r="36" spans="1:11" ht="15" customHeight="1" x14ac:dyDescent="0.25">
      <c r="A36" s="18" t="s">
        <v>52</v>
      </c>
      <c r="B36" s="15">
        <v>1260</v>
      </c>
      <c r="C36" s="15">
        <v>0</v>
      </c>
      <c r="D36" s="15">
        <v>53756</v>
      </c>
      <c r="E36" s="15">
        <v>2</v>
      </c>
      <c r="F36" s="15">
        <v>165602</v>
      </c>
      <c r="G36" s="15">
        <v>161</v>
      </c>
      <c r="H36" s="15">
        <v>57914</v>
      </c>
      <c r="I36" s="15">
        <v>13</v>
      </c>
      <c r="J36" s="15">
        <v>463557</v>
      </c>
      <c r="K36" s="15">
        <v>115</v>
      </c>
    </row>
    <row r="37" spans="1:11" ht="15" customHeight="1" x14ac:dyDescent="0.25">
      <c r="A37" s="19" t="s">
        <v>51</v>
      </c>
      <c r="B37" s="15">
        <v>644</v>
      </c>
      <c r="C37" s="15">
        <v>0</v>
      </c>
      <c r="D37" s="15">
        <v>27757</v>
      </c>
      <c r="E37" s="15">
        <v>2</v>
      </c>
      <c r="F37" s="15">
        <v>42613</v>
      </c>
      <c r="G37" s="15">
        <v>64</v>
      </c>
      <c r="H37" s="15">
        <v>30579</v>
      </c>
      <c r="I37" s="15">
        <v>8</v>
      </c>
      <c r="J37" s="15">
        <v>258808</v>
      </c>
      <c r="K37" s="15">
        <v>75</v>
      </c>
    </row>
    <row r="38" spans="1:11" ht="15" customHeight="1" x14ac:dyDescent="0.25">
      <c r="A38" s="19" t="s">
        <v>32</v>
      </c>
      <c r="B38" s="15">
        <v>516</v>
      </c>
      <c r="C38" s="15">
        <v>0</v>
      </c>
      <c r="D38" s="15">
        <v>18785</v>
      </c>
      <c r="E38" s="15">
        <v>1</v>
      </c>
      <c r="F38" s="15">
        <v>25479</v>
      </c>
      <c r="G38" s="15">
        <v>30</v>
      </c>
      <c r="H38" s="15">
        <v>16265</v>
      </c>
      <c r="I38" s="15">
        <v>10</v>
      </c>
      <c r="J38" s="15">
        <v>174233</v>
      </c>
      <c r="K38" s="15">
        <v>44</v>
      </c>
    </row>
    <row r="39" spans="1:11" ht="15" customHeight="1" x14ac:dyDescent="0.25">
      <c r="A39" s="18" t="s">
        <v>33</v>
      </c>
      <c r="B39" s="15">
        <v>238</v>
      </c>
      <c r="C39" s="15">
        <v>0</v>
      </c>
      <c r="D39" s="15">
        <v>12918</v>
      </c>
      <c r="E39" s="15">
        <v>0</v>
      </c>
      <c r="F39" s="15">
        <v>22423</v>
      </c>
      <c r="G39" s="15">
        <v>22</v>
      </c>
      <c r="H39" s="15">
        <v>17121</v>
      </c>
      <c r="I39" s="15">
        <v>9</v>
      </c>
      <c r="J39" s="15">
        <v>138643</v>
      </c>
      <c r="K39" s="15">
        <v>80</v>
      </c>
    </row>
    <row r="40" spans="1:11" ht="15" customHeight="1" x14ac:dyDescent="0.25">
      <c r="A40" s="18" t="s">
        <v>34</v>
      </c>
      <c r="B40" s="15">
        <v>370</v>
      </c>
      <c r="C40" s="15">
        <v>0</v>
      </c>
      <c r="D40" s="15">
        <v>20185</v>
      </c>
      <c r="E40" s="15">
        <v>1</v>
      </c>
      <c r="F40" s="15">
        <v>24185</v>
      </c>
      <c r="G40" s="15">
        <v>22</v>
      </c>
      <c r="H40" s="15">
        <v>16491</v>
      </c>
      <c r="I40" s="15">
        <v>2</v>
      </c>
      <c r="J40" s="15">
        <v>111614</v>
      </c>
      <c r="K40" s="15">
        <v>19</v>
      </c>
    </row>
    <row r="41" spans="1:11" ht="15" customHeight="1" x14ac:dyDescent="0.25">
      <c r="A41" s="18" t="s">
        <v>35</v>
      </c>
      <c r="B41" s="15">
        <v>233</v>
      </c>
      <c r="C41" s="15">
        <v>0</v>
      </c>
      <c r="D41" s="15">
        <v>11644</v>
      </c>
      <c r="E41" s="15">
        <v>0</v>
      </c>
      <c r="F41" s="15">
        <v>17498</v>
      </c>
      <c r="G41" s="15">
        <v>21</v>
      </c>
      <c r="H41" s="15">
        <v>11832</v>
      </c>
      <c r="I41" s="15">
        <v>3</v>
      </c>
      <c r="J41" s="15">
        <v>100288</v>
      </c>
      <c r="K41" s="15">
        <v>23</v>
      </c>
    </row>
    <row r="42" spans="1:11" ht="15" customHeight="1" x14ac:dyDescent="0.25">
      <c r="A42" s="18" t="s">
        <v>36</v>
      </c>
      <c r="B42" s="15">
        <v>314</v>
      </c>
      <c r="C42" s="15">
        <v>0</v>
      </c>
      <c r="D42" s="15">
        <v>11835</v>
      </c>
      <c r="E42" s="15">
        <v>0</v>
      </c>
      <c r="F42" s="15">
        <v>12662</v>
      </c>
      <c r="G42" s="15">
        <v>30</v>
      </c>
      <c r="H42" s="15">
        <v>10170</v>
      </c>
      <c r="I42" s="15">
        <v>5</v>
      </c>
      <c r="J42" s="15">
        <v>89274</v>
      </c>
      <c r="K42" s="15">
        <v>23</v>
      </c>
    </row>
    <row r="43" spans="1:11" ht="15" customHeight="1" x14ac:dyDescent="0.25">
      <c r="A43" s="19" t="s">
        <v>37</v>
      </c>
      <c r="B43" s="15">
        <v>1214</v>
      </c>
      <c r="C43" s="15">
        <v>0</v>
      </c>
      <c r="D43" s="15">
        <v>19557</v>
      </c>
      <c r="E43" s="15">
        <v>8</v>
      </c>
      <c r="F43" s="15">
        <v>29651</v>
      </c>
      <c r="G43" s="15">
        <v>14</v>
      </c>
      <c r="H43" s="15">
        <v>23522</v>
      </c>
      <c r="I43" s="15">
        <v>13</v>
      </c>
      <c r="J43" s="15">
        <v>200589</v>
      </c>
      <c r="K43" s="15">
        <v>71</v>
      </c>
    </row>
    <row r="44" spans="1:11" ht="15" customHeight="1" x14ac:dyDescent="0.25">
      <c r="A44" s="19" t="s">
        <v>38</v>
      </c>
      <c r="B44" s="15">
        <v>617</v>
      </c>
      <c r="C44" s="15">
        <v>0</v>
      </c>
      <c r="D44" s="15">
        <v>20043</v>
      </c>
      <c r="E44" s="15">
        <v>5</v>
      </c>
      <c r="F44" s="15">
        <v>29593</v>
      </c>
      <c r="G44" s="15">
        <v>22</v>
      </c>
      <c r="H44" s="15">
        <v>18916</v>
      </c>
      <c r="I44" s="15">
        <v>5</v>
      </c>
      <c r="J44" s="15">
        <v>186157</v>
      </c>
      <c r="K44" s="15">
        <v>38</v>
      </c>
    </row>
    <row r="45" spans="1:11" ht="15" customHeight="1" x14ac:dyDescent="0.25">
      <c r="A45" s="18" t="s">
        <v>39</v>
      </c>
      <c r="B45" s="15">
        <v>63</v>
      </c>
      <c r="C45" s="15">
        <v>0</v>
      </c>
      <c r="D45" s="15">
        <v>2492</v>
      </c>
      <c r="E45" s="15">
        <v>0</v>
      </c>
      <c r="F45" s="15">
        <v>15911</v>
      </c>
      <c r="G45" s="15">
        <v>6</v>
      </c>
      <c r="H45" s="15">
        <v>5174</v>
      </c>
      <c r="I45" s="15">
        <v>3</v>
      </c>
      <c r="J45" s="15">
        <v>41570</v>
      </c>
      <c r="K45" s="15">
        <v>11</v>
      </c>
    </row>
    <row r="46" spans="1:11" x14ac:dyDescent="0.25">
      <c r="A46" s="19" t="s">
        <v>40</v>
      </c>
      <c r="B46" s="15">
        <v>732</v>
      </c>
      <c r="C46" s="15">
        <v>6</v>
      </c>
      <c r="D46" s="15">
        <v>41224</v>
      </c>
      <c r="E46" s="15">
        <v>24</v>
      </c>
      <c r="F46" s="15">
        <v>106440</v>
      </c>
      <c r="G46" s="15">
        <v>76</v>
      </c>
      <c r="H46" s="15">
        <v>50350</v>
      </c>
      <c r="I46" s="15">
        <v>18</v>
      </c>
      <c r="J46" s="15">
        <v>376424</v>
      </c>
      <c r="K46" s="15">
        <v>105</v>
      </c>
    </row>
    <row r="47" spans="1:11" ht="15" customHeight="1" x14ac:dyDescent="0.25">
      <c r="A47" s="19" t="s">
        <v>41</v>
      </c>
      <c r="B47" s="15">
        <v>831</v>
      </c>
      <c r="C47" s="15">
        <v>0</v>
      </c>
      <c r="D47" s="15">
        <v>56235</v>
      </c>
      <c r="E47" s="15">
        <v>4</v>
      </c>
      <c r="F47" s="15">
        <v>86880</v>
      </c>
      <c r="G47" s="15">
        <v>132</v>
      </c>
      <c r="H47" s="15">
        <v>40273</v>
      </c>
      <c r="I47" s="15">
        <v>22</v>
      </c>
      <c r="J47" s="15">
        <v>361809</v>
      </c>
      <c r="K47" s="15">
        <v>116</v>
      </c>
    </row>
    <row r="48" spans="1:11" ht="15" customHeight="1" x14ac:dyDescent="0.25">
      <c r="A48" s="19" t="s">
        <v>42</v>
      </c>
      <c r="B48" s="15">
        <v>768</v>
      </c>
      <c r="C48" s="15">
        <v>0</v>
      </c>
      <c r="D48" s="15">
        <v>51697</v>
      </c>
      <c r="E48" s="15">
        <v>9</v>
      </c>
      <c r="F48" s="15">
        <v>62426</v>
      </c>
      <c r="G48" s="15">
        <v>66</v>
      </c>
      <c r="H48" s="15">
        <v>42037</v>
      </c>
      <c r="I48" s="15">
        <v>42</v>
      </c>
      <c r="J48" s="15">
        <v>384113</v>
      </c>
      <c r="K48" s="15">
        <v>301</v>
      </c>
    </row>
    <row r="49" spans="1:14" ht="15" customHeight="1" x14ac:dyDescent="0.25">
      <c r="A49" s="19" t="s">
        <v>50</v>
      </c>
      <c r="B49" s="15">
        <v>578</v>
      </c>
      <c r="C49" s="15">
        <v>1</v>
      </c>
      <c r="D49" s="15">
        <v>44077</v>
      </c>
      <c r="E49" s="15">
        <v>27</v>
      </c>
      <c r="F49" s="15">
        <v>81130</v>
      </c>
      <c r="G49" s="15">
        <v>223</v>
      </c>
      <c r="H49" s="15">
        <v>63702</v>
      </c>
      <c r="I49" s="15">
        <v>14</v>
      </c>
      <c r="J49" s="15">
        <v>293102</v>
      </c>
      <c r="K49" s="15">
        <v>60</v>
      </c>
    </row>
    <row r="50" spans="1:14" ht="15" customHeight="1" x14ac:dyDescent="0.25">
      <c r="A50" s="19" t="s">
        <v>43</v>
      </c>
      <c r="B50" s="15">
        <v>749</v>
      </c>
      <c r="C50" s="15">
        <v>1</v>
      </c>
      <c r="D50" s="15">
        <v>31933</v>
      </c>
      <c r="E50" s="15">
        <v>1</v>
      </c>
      <c r="F50" s="15">
        <v>58297</v>
      </c>
      <c r="G50" s="15">
        <v>81</v>
      </c>
      <c r="H50" s="15">
        <v>19495</v>
      </c>
      <c r="I50" s="15">
        <v>8</v>
      </c>
      <c r="J50" s="15">
        <v>250704</v>
      </c>
      <c r="K50" s="15">
        <v>46</v>
      </c>
    </row>
    <row r="51" spans="1:14" x14ac:dyDescent="0.25">
      <c r="A51" s="19" t="s">
        <v>44</v>
      </c>
      <c r="B51" s="15">
        <v>758</v>
      </c>
      <c r="C51" s="15">
        <v>0</v>
      </c>
      <c r="D51" s="15">
        <v>35383</v>
      </c>
      <c r="E51" s="15">
        <v>40</v>
      </c>
      <c r="F51" s="15">
        <v>80073</v>
      </c>
      <c r="G51" s="15">
        <v>94</v>
      </c>
      <c r="H51" s="15">
        <v>42478</v>
      </c>
      <c r="I51" s="15">
        <v>118</v>
      </c>
      <c r="J51" s="15">
        <v>372084</v>
      </c>
      <c r="K51" s="15">
        <v>143</v>
      </c>
    </row>
    <row r="52" spans="1:14" ht="15" customHeight="1" x14ac:dyDescent="0.25">
      <c r="A52" s="19" t="s">
        <v>45</v>
      </c>
      <c r="B52" s="15">
        <v>418</v>
      </c>
      <c r="C52" s="15">
        <v>0</v>
      </c>
      <c r="D52" s="15">
        <v>28811</v>
      </c>
      <c r="E52" s="15">
        <v>0</v>
      </c>
      <c r="F52" s="15">
        <v>52067</v>
      </c>
      <c r="G52" s="15">
        <v>37</v>
      </c>
      <c r="H52" s="15">
        <v>21773</v>
      </c>
      <c r="I52" s="15">
        <v>9</v>
      </c>
      <c r="J52" s="15">
        <v>191570</v>
      </c>
      <c r="K52" s="15">
        <v>45</v>
      </c>
    </row>
    <row r="53" spans="1:14" ht="15" customHeight="1" x14ac:dyDescent="0.25">
      <c r="A53" s="18" t="s">
        <v>46</v>
      </c>
      <c r="B53" s="15">
        <v>111</v>
      </c>
      <c r="C53" s="15">
        <v>3</v>
      </c>
      <c r="D53" s="15">
        <v>12541</v>
      </c>
      <c r="E53" s="15">
        <v>0</v>
      </c>
      <c r="F53" s="15">
        <v>15456</v>
      </c>
      <c r="G53" s="15">
        <v>14</v>
      </c>
      <c r="H53" s="15">
        <v>13098</v>
      </c>
      <c r="I53" s="15">
        <v>4</v>
      </c>
      <c r="J53" s="15">
        <v>88783</v>
      </c>
      <c r="K53" s="15">
        <v>23</v>
      </c>
    </row>
    <row r="54" spans="1:14" x14ac:dyDescent="0.25">
      <c r="A54" s="19" t="s">
        <v>49</v>
      </c>
      <c r="B54" s="15">
        <v>607</v>
      </c>
      <c r="C54" s="15">
        <v>0</v>
      </c>
      <c r="D54" s="15">
        <v>32737</v>
      </c>
      <c r="E54" s="15">
        <v>6</v>
      </c>
      <c r="F54" s="15">
        <v>42392</v>
      </c>
      <c r="G54" s="15">
        <v>31</v>
      </c>
      <c r="H54" s="15">
        <v>28677</v>
      </c>
      <c r="I54" s="15">
        <v>8</v>
      </c>
      <c r="J54" s="15">
        <v>217674</v>
      </c>
      <c r="K54" s="15">
        <v>41</v>
      </c>
    </row>
    <row r="55" spans="1:14" ht="15" customHeight="1" x14ac:dyDescent="0.25">
      <c r="A55" s="18" t="s">
        <v>47</v>
      </c>
      <c r="B55" s="15">
        <v>62</v>
      </c>
      <c r="C55" s="15">
        <v>0</v>
      </c>
      <c r="D55" s="15">
        <v>4192</v>
      </c>
      <c r="E55" s="15">
        <v>4</v>
      </c>
      <c r="F55" s="15">
        <v>9831</v>
      </c>
      <c r="G55" s="15">
        <v>12</v>
      </c>
      <c r="H55" s="15">
        <v>9096</v>
      </c>
      <c r="I55" s="15">
        <v>4</v>
      </c>
      <c r="J55" s="15">
        <v>45294</v>
      </c>
      <c r="K55" s="15">
        <v>12</v>
      </c>
    </row>
    <row r="56" spans="1:14" ht="15.75" thickBot="1" x14ac:dyDescent="0.3">
      <c r="A56" s="34"/>
      <c r="B56" s="35"/>
      <c r="C56" s="35"/>
      <c r="D56" s="35"/>
      <c r="E56" s="35"/>
      <c r="F56" s="35"/>
      <c r="G56" s="35"/>
      <c r="H56" s="35"/>
      <c r="I56" s="35"/>
      <c r="J56" s="35"/>
      <c r="K56" s="35"/>
    </row>
    <row r="57" spans="1:14" s="11" customFormat="1" ht="15.75" thickBot="1" x14ac:dyDescent="0.3">
      <c r="A57" s="36" t="s">
        <v>48</v>
      </c>
      <c r="B57" s="37">
        <f t="shared" ref="B57:K57" si="0">SUM(B4:B56)</f>
        <v>64915</v>
      </c>
      <c r="C57" s="37">
        <f t="shared" si="0"/>
        <v>256</v>
      </c>
      <c r="D57" s="37">
        <f t="shared" si="0"/>
        <v>2574643</v>
      </c>
      <c r="E57" s="37">
        <f t="shared" si="0"/>
        <v>1811</v>
      </c>
      <c r="F57" s="37">
        <f t="shared" si="0"/>
        <v>5393239</v>
      </c>
      <c r="G57" s="37">
        <f t="shared" si="0"/>
        <v>22060</v>
      </c>
      <c r="H57" s="37">
        <f t="shared" si="0"/>
        <v>2406561</v>
      </c>
      <c r="I57" s="37">
        <f t="shared" si="0"/>
        <v>3892</v>
      </c>
      <c r="J57" s="37">
        <f t="shared" si="0"/>
        <v>24074216</v>
      </c>
      <c r="K57" s="38">
        <f t="shared" si="0"/>
        <v>25574</v>
      </c>
      <c r="N57" s="28"/>
    </row>
    <row r="58" spans="1:14" ht="15" customHeight="1" x14ac:dyDescent="0.25">
      <c r="D58" s="5"/>
    </row>
    <row r="66" spans="4:5" x14ac:dyDescent="0.25">
      <c r="D66" s="9"/>
      <c r="E66" s="9"/>
    </row>
    <row r="67" spans="4:5" x14ac:dyDescent="0.25">
      <c r="D67" s="5"/>
      <c r="E67" s="6"/>
    </row>
    <row r="68" spans="4:5" x14ac:dyDescent="0.25">
      <c r="D68" s="5"/>
      <c r="E68" s="8"/>
    </row>
    <row r="69" spans="4:5" ht="15" customHeight="1" x14ac:dyDescent="0.25">
      <c r="D69" s="5"/>
    </row>
    <row r="70" spans="4:5" x14ac:dyDescent="0.25">
      <c r="D70" s="7"/>
    </row>
    <row r="80" spans="4:5" ht="15" customHeight="1" x14ac:dyDescent="0.25"/>
    <row r="90" spans="2:11" x14ac:dyDescent="0.25">
      <c r="B90" s="3"/>
      <c r="C90" s="3"/>
      <c r="D90" s="3"/>
      <c r="E90" s="3"/>
    </row>
    <row r="91" spans="2:11" ht="15" customHeight="1" x14ac:dyDescent="0.25">
      <c r="C91" s="4"/>
      <c r="D91" s="4"/>
      <c r="E91" s="2"/>
      <c r="G91" s="3"/>
      <c r="H91" s="3"/>
      <c r="I91" s="3"/>
      <c r="J91" s="3"/>
      <c r="K91" s="3"/>
    </row>
    <row r="92" spans="2:11" x14ac:dyDescent="0.25">
      <c r="H92" s="2"/>
      <c r="I92" s="2"/>
      <c r="J92" s="2"/>
      <c r="K92" s="2"/>
    </row>
    <row r="97" spans="2:10" x14ac:dyDescent="0.25">
      <c r="J97" s="4"/>
    </row>
    <row r="98" spans="2:10" x14ac:dyDescent="0.25">
      <c r="J98" s="4"/>
    </row>
    <row r="99" spans="2:10" x14ac:dyDescent="0.25">
      <c r="J99" s="4"/>
    </row>
    <row r="102" spans="2:10" ht="15" customHeight="1" x14ac:dyDescent="0.25"/>
    <row r="111" spans="2:10" x14ac:dyDescent="0.25">
      <c r="B111" s="3"/>
      <c r="C111" s="3"/>
      <c r="D111" s="3"/>
      <c r="E111" s="3"/>
    </row>
    <row r="112" spans="2:10" x14ac:dyDescent="0.25">
      <c r="C112" s="2"/>
      <c r="D112" s="2"/>
      <c r="E112" s="2"/>
    </row>
    <row r="113" ht="15" customHeight="1" x14ac:dyDescent="0.25"/>
    <row r="124" ht="15" customHeight="1" x14ac:dyDescent="0.25"/>
    <row r="135" ht="15" customHeight="1" x14ac:dyDescent="0.25"/>
    <row r="146" ht="15" customHeight="1" x14ac:dyDescent="0.25"/>
    <row r="157" ht="15" customHeight="1" x14ac:dyDescent="0.25"/>
    <row r="168" ht="15" customHeight="1" x14ac:dyDescent="0.25"/>
    <row r="179" ht="15" customHeight="1" x14ac:dyDescent="0.25"/>
    <row r="190" ht="15" customHeight="1" x14ac:dyDescent="0.25"/>
    <row r="201" ht="15" customHeight="1" x14ac:dyDescent="0.25"/>
    <row r="212" ht="15" customHeight="1" x14ac:dyDescent="0.25"/>
    <row r="223" ht="15" customHeight="1" x14ac:dyDescent="0.25"/>
    <row r="234" ht="15" customHeight="1" x14ac:dyDescent="0.25"/>
    <row r="245" ht="15" customHeight="1" x14ac:dyDescent="0.25"/>
    <row r="256" ht="15" customHeight="1" x14ac:dyDescent="0.25"/>
    <row r="267" ht="15" customHeight="1" x14ac:dyDescent="0.25"/>
    <row r="278" ht="15" customHeight="1" x14ac:dyDescent="0.25"/>
    <row r="289" ht="15" customHeight="1" x14ac:dyDescent="0.25"/>
    <row r="300" ht="15" customHeight="1" x14ac:dyDescent="0.25"/>
    <row r="311" ht="15" customHeight="1" x14ac:dyDescent="0.25"/>
    <row r="322" ht="15" customHeight="1" x14ac:dyDescent="0.25"/>
    <row r="333" ht="15" customHeight="1" x14ac:dyDescent="0.25"/>
    <row r="344" ht="15" customHeight="1" x14ac:dyDescent="0.25"/>
    <row r="355" ht="15" customHeight="1" x14ac:dyDescent="0.25"/>
    <row r="366" ht="15" customHeight="1" x14ac:dyDescent="0.25"/>
    <row r="377" ht="15" customHeight="1" x14ac:dyDescent="0.25"/>
    <row r="388" ht="15" customHeight="1" x14ac:dyDescent="0.25"/>
    <row r="399" ht="15" customHeight="1" x14ac:dyDescent="0.25"/>
    <row r="410" ht="15" customHeight="1" x14ac:dyDescent="0.25"/>
    <row r="421" ht="15" customHeight="1" x14ac:dyDescent="0.25"/>
    <row r="432" ht="15" customHeight="1" x14ac:dyDescent="0.25"/>
    <row r="443" ht="15" customHeight="1" x14ac:dyDescent="0.25"/>
    <row r="454" ht="15" customHeight="1" x14ac:dyDescent="0.25"/>
  </sheetData>
  <autoFilter ref="A3:K55" xr:uid="{00000000-0009-0000-0000-000000000000}"/>
  <mergeCells count="7"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5"/>
  <sheetViews>
    <sheetView zoomScale="80" zoomScaleNormal="8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P8" sqref="P8"/>
    </sheetView>
  </sheetViews>
  <sheetFormatPr baseColWidth="10" defaultColWidth="11.42578125" defaultRowHeight="15" x14ac:dyDescent="0.25"/>
  <cols>
    <col min="1" max="1" width="39" style="1" bestFit="1" customWidth="1"/>
    <col min="2" max="2" width="14.5703125" style="1" hidden="1" customWidth="1"/>
    <col min="3" max="3" width="10.140625" style="1" hidden="1" customWidth="1"/>
    <col min="4" max="4" width="15.5703125" style="1" hidden="1" customWidth="1"/>
    <col min="5" max="5" width="11.7109375" style="1" hidden="1" customWidth="1"/>
    <col min="6" max="6" width="15.5703125" style="1" hidden="1" customWidth="1"/>
    <col min="7" max="7" width="12.85546875" style="1" hidden="1" customWidth="1"/>
    <col min="8" max="8" width="15.5703125" style="1" customWidth="1"/>
    <col min="9" max="9" width="11.7109375" style="1" customWidth="1"/>
    <col min="10" max="10" width="16.5703125" style="1" customWidth="1"/>
    <col min="11" max="12" width="12.85546875" style="1" customWidth="1"/>
    <col min="13" max="16384" width="11.42578125" style="1"/>
  </cols>
  <sheetData>
    <row r="1" spans="1:13" ht="26.25" customHeight="1" thickBot="1" x14ac:dyDescent="0.3">
      <c r="A1" s="55">
        <v>2022</v>
      </c>
      <c r="B1" s="59" t="s">
        <v>2</v>
      </c>
      <c r="C1" s="60"/>
      <c r="D1" s="60"/>
      <c r="E1" s="60"/>
      <c r="F1" s="60"/>
      <c r="G1" s="60"/>
      <c r="H1" s="60"/>
      <c r="I1" s="60"/>
      <c r="J1" s="60"/>
      <c r="K1" s="60"/>
      <c r="L1" s="61"/>
    </row>
    <row r="2" spans="1:13" ht="60" customHeight="1" thickBot="1" x14ac:dyDescent="0.3">
      <c r="A2" s="56"/>
      <c r="B2" s="57" t="s">
        <v>3</v>
      </c>
      <c r="C2" s="58"/>
      <c r="D2" s="58" t="s">
        <v>4</v>
      </c>
      <c r="E2" s="58"/>
      <c r="F2" s="58" t="s">
        <v>5</v>
      </c>
      <c r="G2" s="58"/>
      <c r="H2" s="58" t="s">
        <v>1</v>
      </c>
      <c r="I2" s="58"/>
      <c r="J2" s="62" t="s">
        <v>6</v>
      </c>
      <c r="K2" s="63"/>
      <c r="L2" s="64"/>
    </row>
    <row r="3" spans="1:13" s="25" customFormat="1" x14ac:dyDescent="0.25">
      <c r="A3" s="24" t="s">
        <v>0</v>
      </c>
      <c r="B3" s="26" t="s">
        <v>7</v>
      </c>
      <c r="C3" s="26" t="s">
        <v>8</v>
      </c>
      <c r="D3" s="26" t="s">
        <v>7</v>
      </c>
      <c r="E3" s="26" t="s">
        <v>8</v>
      </c>
      <c r="F3" s="26" t="s">
        <v>7</v>
      </c>
      <c r="G3" s="26" t="s">
        <v>8</v>
      </c>
      <c r="H3" s="26" t="s">
        <v>7</v>
      </c>
      <c r="I3" s="26" t="s">
        <v>8</v>
      </c>
      <c r="J3" s="26" t="s">
        <v>7</v>
      </c>
      <c r="K3" s="26" t="s">
        <v>9</v>
      </c>
      <c r="L3" s="26" t="s">
        <v>10</v>
      </c>
    </row>
    <row r="4" spans="1:13" ht="15" customHeight="1" x14ac:dyDescent="0.25">
      <c r="A4" s="18" t="s">
        <v>63</v>
      </c>
      <c r="B4" s="15">
        <v>11121.865384615385</v>
      </c>
      <c r="C4" s="15">
        <v>541.46860378293263</v>
      </c>
      <c r="D4" s="15">
        <v>225601.6346153846</v>
      </c>
      <c r="E4" s="15">
        <v>2686.2495422157358</v>
      </c>
      <c r="F4" s="15">
        <v>459959.54222749145</v>
      </c>
      <c r="G4" s="15">
        <v>37546.269283957336</v>
      </c>
      <c r="H4" s="15">
        <v>403828.17468085111</v>
      </c>
      <c r="I4" s="15">
        <v>25147.018207744601</v>
      </c>
      <c r="J4" s="14">
        <v>3671598.5060531152</v>
      </c>
      <c r="K4" s="15">
        <v>82614.756620650689</v>
      </c>
      <c r="L4" s="15">
        <v>44749.65983618579</v>
      </c>
      <c r="M4" s="17"/>
    </row>
    <row r="5" spans="1:13" ht="15" customHeight="1" x14ac:dyDescent="0.25">
      <c r="A5" s="18" t="s">
        <v>62</v>
      </c>
      <c r="B5" s="15">
        <v>1970.2361424269186</v>
      </c>
      <c r="C5" s="15">
        <v>54.781613891141006</v>
      </c>
      <c r="D5" s="15">
        <v>41698.769230769227</v>
      </c>
      <c r="E5" s="15">
        <v>248.25462800408908</v>
      </c>
      <c r="F5" s="15">
        <v>73058.154961991779</v>
      </c>
      <c r="G5" s="15">
        <v>3196.6465300933114</v>
      </c>
      <c r="H5" s="15">
        <v>39531.065744680855</v>
      </c>
      <c r="I5" s="15">
        <v>1230.8309478885112</v>
      </c>
      <c r="J5" s="14">
        <v>506725.30727480387</v>
      </c>
      <c r="K5" s="15">
        <v>7550.517482639184</v>
      </c>
      <c r="L5" s="15">
        <v>4124.2155157660754</v>
      </c>
      <c r="M5" s="17"/>
    </row>
    <row r="6" spans="1:13" ht="15" customHeight="1" x14ac:dyDescent="0.25">
      <c r="A6" s="23" t="s">
        <v>11</v>
      </c>
      <c r="B6" s="15">
        <v>6532.5704987924182</v>
      </c>
      <c r="C6" s="15">
        <v>181.63546342251658</v>
      </c>
      <c r="D6" s="15">
        <v>203665.74999999997</v>
      </c>
      <c r="E6" s="15">
        <v>1212.5289531594908</v>
      </c>
      <c r="F6" s="15">
        <v>810546.72599204967</v>
      </c>
      <c r="G6" s="15">
        <v>35465.327319981647</v>
      </c>
      <c r="H6" s="15">
        <v>252920.41170212766</v>
      </c>
      <c r="I6" s="15">
        <v>7874.8767383679724</v>
      </c>
      <c r="J6" s="14">
        <v>2418408.848703526</v>
      </c>
      <c r="K6" s="15">
        <v>36401.658197820303</v>
      </c>
      <c r="L6" s="15">
        <v>19633.66050933818</v>
      </c>
      <c r="M6" s="17"/>
    </row>
    <row r="7" spans="1:13" ht="15" customHeight="1" x14ac:dyDescent="0.25">
      <c r="A7" s="19" t="s">
        <v>61</v>
      </c>
      <c r="B7" s="15">
        <v>976.5</v>
      </c>
      <c r="C7" s="15">
        <v>22.520630780170453</v>
      </c>
      <c r="D7" s="15">
        <v>28652.615384615383</v>
      </c>
      <c r="E7" s="15">
        <v>170.58403652842571</v>
      </c>
      <c r="F7" s="15">
        <v>78171.053769439983</v>
      </c>
      <c r="G7" s="15">
        <v>3420.3605048036025</v>
      </c>
      <c r="H7" s="15">
        <v>30438.27574468085</v>
      </c>
      <c r="I7" s="15">
        <v>947.71975106586808</v>
      </c>
      <c r="J7" s="14">
        <v>317831.86625890539</v>
      </c>
      <c r="K7" s="15">
        <v>4724.5524472307552</v>
      </c>
      <c r="L7" s="15">
        <v>2588.3588038664716</v>
      </c>
      <c r="M7" s="17"/>
    </row>
    <row r="8" spans="1:13" ht="15" customHeight="1" x14ac:dyDescent="0.25">
      <c r="A8" s="19" t="s">
        <v>12</v>
      </c>
      <c r="B8" s="15">
        <v>542.3683762860619</v>
      </c>
      <c r="C8" s="15">
        <v>15.080331913853422</v>
      </c>
      <c r="D8" s="15">
        <v>12791.346153846154</v>
      </c>
      <c r="E8" s="15">
        <v>76.153587735904338</v>
      </c>
      <c r="F8" s="15">
        <v>21643.66999093382</v>
      </c>
      <c r="G8" s="15">
        <v>947.01491723952904</v>
      </c>
      <c r="H8" s="15">
        <v>15092.209361702127</v>
      </c>
      <c r="I8" s="15">
        <v>469.9078561244001</v>
      </c>
      <c r="J8" s="14">
        <v>154240.18377171658</v>
      </c>
      <c r="K8" s="15">
        <v>2287.4945338688153</v>
      </c>
      <c r="L8" s="15">
        <v>1256.8173323852393</v>
      </c>
      <c r="M8" s="17"/>
    </row>
    <row r="9" spans="1:13" ht="15" customHeight="1" x14ac:dyDescent="0.25">
      <c r="A9" s="20" t="s">
        <v>13</v>
      </c>
      <c r="B9" s="15">
        <v>2750.0793550831295</v>
      </c>
      <c r="C9" s="15">
        <v>76.464836958369943</v>
      </c>
      <c r="D9" s="15">
        <v>80464.192307692312</v>
      </c>
      <c r="E9" s="15">
        <v>479.04550895607207</v>
      </c>
      <c r="F9" s="15">
        <v>224462.66880535602</v>
      </c>
      <c r="G9" s="15">
        <v>9821.324008872336</v>
      </c>
      <c r="H9" s="15">
        <v>58096.407659574463</v>
      </c>
      <c r="I9" s="15">
        <v>1808.8775286351361</v>
      </c>
      <c r="J9" s="14">
        <v>705728.71407318104</v>
      </c>
      <c r="K9" s="15">
        <v>10582.624811756101</v>
      </c>
      <c r="L9" s="15">
        <v>5734.8235533564111</v>
      </c>
      <c r="M9" s="17"/>
    </row>
    <row r="10" spans="1:13" ht="15" customHeight="1" x14ac:dyDescent="0.25">
      <c r="A10" s="22" t="s">
        <v>60</v>
      </c>
      <c r="B10" s="15">
        <v>2441.1608179406048</v>
      </c>
      <c r="C10" s="15">
        <v>33.937741394256406</v>
      </c>
      <c r="D10" s="15">
        <v>123683.65384615384</v>
      </c>
      <c r="E10" s="15">
        <v>368.1768076395216</v>
      </c>
      <c r="F10" s="15">
        <v>313006.77648371574</v>
      </c>
      <c r="G10" s="15">
        <v>6847.7778179787483</v>
      </c>
      <c r="H10" s="15">
        <v>89646.331489361706</v>
      </c>
      <c r="I10" s="15">
        <v>1395.6046603249697</v>
      </c>
      <c r="J10" s="14">
        <v>1229381.4054006992</v>
      </c>
      <c r="K10" s="15">
        <v>9220.5053674261653</v>
      </c>
      <c r="L10" s="15">
        <v>4994.6288423101614</v>
      </c>
      <c r="M10" s="17"/>
    </row>
    <row r="11" spans="1:13" ht="15" customHeight="1" x14ac:dyDescent="0.25">
      <c r="A11" s="21" t="s">
        <v>14</v>
      </c>
      <c r="B11" s="15">
        <v>854.30566134854644</v>
      </c>
      <c r="C11" s="15">
        <v>11.876810570372502</v>
      </c>
      <c r="D11" s="15">
        <v>33670.288461538461</v>
      </c>
      <c r="E11" s="15">
        <v>100.22843708588047</v>
      </c>
      <c r="F11" s="15">
        <v>54625.07287816445</v>
      </c>
      <c r="G11" s="15">
        <v>1195.0551568330907</v>
      </c>
      <c r="H11" s="15">
        <v>39909.804042553194</v>
      </c>
      <c r="I11" s="15">
        <v>621.31163193279417</v>
      </c>
      <c r="J11" s="14">
        <v>318520.05066333211</v>
      </c>
      <c r="K11" s="15">
        <v>2378.2815484007542</v>
      </c>
      <c r="L11" s="15">
        <v>1295.5023870002947</v>
      </c>
      <c r="M11" s="17"/>
    </row>
    <row r="12" spans="1:13" ht="15" customHeight="1" x14ac:dyDescent="0.25">
      <c r="A12" s="19" t="s">
        <v>15</v>
      </c>
      <c r="B12" s="15">
        <v>528.28088599291732</v>
      </c>
      <c r="C12" s="15">
        <v>7.3443174905130313</v>
      </c>
      <c r="D12" s="15">
        <v>35572.173076923078</v>
      </c>
      <c r="E12" s="15">
        <v>105.88989504266125</v>
      </c>
      <c r="F12" s="15">
        <v>69006.10251760931</v>
      </c>
      <c r="G12" s="15">
        <v>1509.6748493233868</v>
      </c>
      <c r="H12" s="15">
        <v>33463.064042553189</v>
      </c>
      <c r="I12" s="15">
        <v>520.94946163058739</v>
      </c>
      <c r="J12" s="14">
        <v>301244.18174199318</v>
      </c>
      <c r="K12" s="15">
        <v>2243.0022491621353</v>
      </c>
      <c r="L12" s="15">
        <v>1226.089742896575</v>
      </c>
      <c r="M12" s="17"/>
    </row>
    <row r="13" spans="1:13" ht="15" customHeight="1" x14ac:dyDescent="0.25">
      <c r="A13" s="19" t="s">
        <v>16</v>
      </c>
      <c r="B13" s="15">
        <v>621.86207151166286</v>
      </c>
      <c r="C13" s="15">
        <v>8.6453108745467677</v>
      </c>
      <c r="D13" s="15">
        <v>19626.307692307695</v>
      </c>
      <c r="E13" s="15">
        <v>58.422848025600565</v>
      </c>
      <c r="F13" s="15">
        <v>41796.745658693078</v>
      </c>
      <c r="G13" s="15">
        <v>914.40457296357727</v>
      </c>
      <c r="H13" s="15">
        <v>17559.126382978724</v>
      </c>
      <c r="I13" s="15">
        <v>273.35863279835723</v>
      </c>
      <c r="J13" s="14">
        <v>258898.87753769426</v>
      </c>
      <c r="K13" s="15">
        <v>1937.915107542344</v>
      </c>
      <c r="L13" s="15">
        <v>1052.3560920854047</v>
      </c>
      <c r="M13" s="17"/>
    </row>
    <row r="14" spans="1:13" ht="15" customHeight="1" x14ac:dyDescent="0.25">
      <c r="A14" s="18" t="s">
        <v>59</v>
      </c>
      <c r="B14" s="15">
        <v>1045.4930296126499</v>
      </c>
      <c r="C14" s="15">
        <v>14.534754043129599</v>
      </c>
      <c r="D14" s="15">
        <v>35431.519230769227</v>
      </c>
      <c r="E14" s="15">
        <v>105.47120201048774</v>
      </c>
      <c r="F14" s="15">
        <v>85157.212915823984</v>
      </c>
      <c r="G14" s="15">
        <v>1863.0193256413754</v>
      </c>
      <c r="H14" s="15">
        <v>42014.360638297876</v>
      </c>
      <c r="I14" s="15">
        <v>654.07514767451164</v>
      </c>
      <c r="J14" s="14">
        <v>407792.69821289298</v>
      </c>
      <c r="K14" s="15">
        <v>3086.6762792181053</v>
      </c>
      <c r="L14" s="15">
        <v>1652.9233385556843</v>
      </c>
      <c r="M14" s="17"/>
    </row>
    <row r="15" spans="1:13" ht="15" customHeight="1" x14ac:dyDescent="0.25">
      <c r="A15" s="21" t="s">
        <v>17</v>
      </c>
      <c r="B15" s="15">
        <v>1175.2991901709095</v>
      </c>
      <c r="C15" s="15">
        <v>16.339357769369943</v>
      </c>
      <c r="D15" s="15">
        <v>47294.346153846149</v>
      </c>
      <c r="E15" s="15">
        <v>140.78401506459892</v>
      </c>
      <c r="F15" s="15">
        <v>110628.54480786665</v>
      </c>
      <c r="G15" s="15">
        <v>2420.2661158998567</v>
      </c>
      <c r="H15" s="15">
        <v>49949.439787234049</v>
      </c>
      <c r="I15" s="15">
        <v>777.6076253154622</v>
      </c>
      <c r="J15" s="14">
        <v>400181.67154436099</v>
      </c>
      <c r="K15" s="15">
        <v>2987.7550736604489</v>
      </c>
      <c r="L15" s="15">
        <v>1627.6771623445745</v>
      </c>
      <c r="M15" s="17"/>
    </row>
    <row r="16" spans="1:13" ht="15" customHeight="1" x14ac:dyDescent="0.25">
      <c r="A16" s="19" t="s">
        <v>18</v>
      </c>
      <c r="B16" s="15">
        <v>1183.349184624135</v>
      </c>
      <c r="C16" s="15">
        <v>16.451271178749188</v>
      </c>
      <c r="D16" s="15">
        <v>45381.25</v>
      </c>
      <c r="E16" s="15">
        <v>135.08918302554343</v>
      </c>
      <c r="F16" s="15">
        <v>136217.08068902991</v>
      </c>
      <c r="G16" s="15">
        <v>2980.0770259703586</v>
      </c>
      <c r="H16" s="15">
        <v>63967.874893617023</v>
      </c>
      <c r="I16" s="15">
        <v>995.84514870204862</v>
      </c>
      <c r="J16" s="14">
        <v>402263.79542328604</v>
      </c>
      <c r="K16" s="15">
        <v>3004.3176684840523</v>
      </c>
      <c r="L16" s="15">
        <v>1636.0078606659563</v>
      </c>
      <c r="M16" s="17"/>
    </row>
    <row r="17" spans="1:13" ht="15" customHeight="1" x14ac:dyDescent="0.25">
      <c r="A17" s="18" t="s">
        <v>58</v>
      </c>
      <c r="B17" s="15">
        <v>1655.2801094444746</v>
      </c>
      <c r="C17" s="15">
        <v>23.0121948036075</v>
      </c>
      <c r="D17" s="15">
        <v>91610.499999999985</v>
      </c>
      <c r="E17" s="15">
        <v>272.70266027404591</v>
      </c>
      <c r="F17" s="15">
        <v>250876.64132784714</v>
      </c>
      <c r="G17" s="15">
        <v>5488.5313309605572</v>
      </c>
      <c r="H17" s="15">
        <v>79864.647234042553</v>
      </c>
      <c r="I17" s="15">
        <v>1243.3244285993603</v>
      </c>
      <c r="J17" s="14">
        <v>974768.7941322783</v>
      </c>
      <c r="K17" s="15">
        <v>7281.39373420214</v>
      </c>
      <c r="L17" s="15">
        <v>3964.2097549736018</v>
      </c>
      <c r="M17" s="17"/>
    </row>
    <row r="18" spans="1:13" ht="15" customHeight="1" x14ac:dyDescent="0.25">
      <c r="A18" s="18" t="s">
        <v>19</v>
      </c>
      <c r="B18" s="15">
        <v>1891.7486965079706</v>
      </c>
      <c r="C18" s="15">
        <v>26.299651204122853</v>
      </c>
      <c r="D18" s="15">
        <v>74503.730769230766</v>
      </c>
      <c r="E18" s="15">
        <v>221.77987873781413</v>
      </c>
      <c r="F18" s="15">
        <v>207494.13571378757</v>
      </c>
      <c r="G18" s="15">
        <v>4539.4344360958839</v>
      </c>
      <c r="H18" s="15">
        <v>68455.411914893615</v>
      </c>
      <c r="I18" s="15">
        <v>1065.706653085166</v>
      </c>
      <c r="J18" s="14">
        <v>741274.17067288922</v>
      </c>
      <c r="K18" s="15">
        <v>5527.5859954425778</v>
      </c>
      <c r="L18" s="15">
        <v>3015.9358544365314</v>
      </c>
      <c r="M18" s="17"/>
    </row>
    <row r="19" spans="1:13" ht="15" customHeight="1" x14ac:dyDescent="0.25">
      <c r="A19" s="18" t="s">
        <v>57</v>
      </c>
      <c r="B19" s="15">
        <v>1473.1153846153848</v>
      </c>
      <c r="C19" s="15">
        <v>25.654228462957484</v>
      </c>
      <c r="D19" s="15">
        <v>33405.288461538461</v>
      </c>
      <c r="E19" s="15">
        <v>99.439595141205757</v>
      </c>
      <c r="F19" s="15">
        <v>81649.107190180628</v>
      </c>
      <c r="G19" s="15">
        <v>1786.2710557123553</v>
      </c>
      <c r="H19" s="15">
        <v>48053.701063829787</v>
      </c>
      <c r="I19" s="15">
        <v>748.09496424850647</v>
      </c>
      <c r="J19" s="14">
        <v>504061.3991334131</v>
      </c>
      <c r="K19" s="15">
        <v>3786.0834137525794</v>
      </c>
      <c r="L19" s="15">
        <v>2047.104165060555</v>
      </c>
      <c r="M19" s="17"/>
    </row>
    <row r="20" spans="1:13" ht="15" customHeight="1" x14ac:dyDescent="0.25">
      <c r="A20" s="19" t="s">
        <v>20</v>
      </c>
      <c r="B20" s="15">
        <v>480.98716858021805</v>
      </c>
      <c r="C20" s="15">
        <v>6.6868262104099587</v>
      </c>
      <c r="D20" s="15">
        <v>15815.403846153848</v>
      </c>
      <c r="E20" s="15">
        <v>47.078694059682377</v>
      </c>
      <c r="F20" s="15">
        <v>25084.658902294439</v>
      </c>
      <c r="G20" s="15">
        <v>548.78738643420911</v>
      </c>
      <c r="H20" s="15">
        <v>19680.06085106383</v>
      </c>
      <c r="I20" s="15">
        <v>306.37711753417375</v>
      </c>
      <c r="J20" s="14">
        <v>186018.68488676849</v>
      </c>
      <c r="K20" s="15">
        <v>1390.6085043067487</v>
      </c>
      <c r="L20" s="15">
        <v>756.35897818368835</v>
      </c>
      <c r="M20" s="17"/>
    </row>
    <row r="21" spans="1:13" ht="15" customHeight="1" x14ac:dyDescent="0.25">
      <c r="A21" s="19" t="s">
        <v>21</v>
      </c>
      <c r="B21" s="15">
        <v>264.64356764978527</v>
      </c>
      <c r="C21" s="15">
        <v>3.6791533333427182</v>
      </c>
      <c r="D21" s="15">
        <v>18401.192307692305</v>
      </c>
      <c r="E21" s="15">
        <v>54.77597103521979</v>
      </c>
      <c r="F21" s="15">
        <v>25913.100774112561</v>
      </c>
      <c r="G21" s="15">
        <v>566.91154954994295</v>
      </c>
      <c r="H21" s="15">
        <v>17872.353191489361</v>
      </c>
      <c r="I21" s="15">
        <v>278.23491481050002</v>
      </c>
      <c r="J21" s="14">
        <v>144083.36288085146</v>
      </c>
      <c r="K21" s="15">
        <v>1074.9043016687383</v>
      </c>
      <c r="L21" s="15">
        <v>586.14828564983361</v>
      </c>
      <c r="M21" s="17"/>
    </row>
    <row r="22" spans="1:13" ht="15" customHeight="1" x14ac:dyDescent="0.25">
      <c r="A22" s="18" t="s">
        <v>22</v>
      </c>
      <c r="B22" s="15">
        <v>267.66231556974481</v>
      </c>
      <c r="C22" s="15">
        <v>3.7211208618599358</v>
      </c>
      <c r="D22" s="15">
        <v>6764.6346153846162</v>
      </c>
      <c r="E22" s="15">
        <v>20.136707641561639</v>
      </c>
      <c r="F22" s="15">
        <v>12698.100564892949</v>
      </c>
      <c r="G22" s="15">
        <v>277.80156185615726</v>
      </c>
      <c r="H22" s="15">
        <v>9575.9372340425543</v>
      </c>
      <c r="I22" s="15">
        <v>149.077183737241</v>
      </c>
      <c r="J22" s="14">
        <v>90218.535050113365</v>
      </c>
      <c r="K22" s="15">
        <v>673.54283570838606</v>
      </c>
      <c r="L22" s="15">
        <v>366.95382208433904</v>
      </c>
      <c r="M22" s="17"/>
    </row>
    <row r="23" spans="1:13" ht="15" customHeight="1" x14ac:dyDescent="0.25">
      <c r="A23" s="18" t="s">
        <v>23</v>
      </c>
      <c r="B23" s="15">
        <v>106.66242650523665</v>
      </c>
      <c r="C23" s="15">
        <v>1.4828526742750117</v>
      </c>
      <c r="D23" s="15">
        <v>5613.9230769230771</v>
      </c>
      <c r="E23" s="15">
        <v>16.711313197185699</v>
      </c>
      <c r="F23" s="15">
        <v>7528.1023781295762</v>
      </c>
      <c r="G23" s="15">
        <v>164.69538792592473</v>
      </c>
      <c r="H23" s="15">
        <v>7579.8840425531916</v>
      </c>
      <c r="I23" s="15">
        <v>118.00283758142913</v>
      </c>
      <c r="J23" s="14">
        <v>47890.801511459395</v>
      </c>
      <c r="K23" s="15">
        <v>358.21786999142756</v>
      </c>
      <c r="L23" s="15">
        <v>194.69819305035412</v>
      </c>
      <c r="M23" s="17"/>
    </row>
    <row r="24" spans="1:13" ht="15" customHeight="1" x14ac:dyDescent="0.25">
      <c r="A24" s="18" t="s">
        <v>56</v>
      </c>
      <c r="B24" s="15">
        <v>1673.3925969642314</v>
      </c>
      <c r="C24" s="15">
        <v>23.263999974710799</v>
      </c>
      <c r="D24" s="15">
        <v>40213.75</v>
      </c>
      <c r="E24" s="15">
        <v>119.70676510438668</v>
      </c>
      <c r="F24" s="15">
        <v>84539.137178324847</v>
      </c>
      <c r="G24" s="15">
        <v>1849.497428854909</v>
      </c>
      <c r="H24" s="15">
        <v>38515.637659574466</v>
      </c>
      <c r="I24" s="15">
        <v>599.60739631011927</v>
      </c>
      <c r="J24" s="14">
        <v>603564.07868069306</v>
      </c>
      <c r="K24" s="15">
        <v>4530.1088700158643</v>
      </c>
      <c r="L24" s="15">
        <v>2451.6614770201695</v>
      </c>
      <c r="M24" s="17"/>
    </row>
    <row r="25" spans="1:13" ht="15" customHeight="1" x14ac:dyDescent="0.25">
      <c r="A25" s="18" t="s">
        <v>24</v>
      </c>
      <c r="B25" s="15">
        <v>3044.9104019325105</v>
      </c>
      <c r="C25" s="15">
        <v>42.331247097699872</v>
      </c>
      <c r="D25" s="15">
        <v>109576.48076923077</v>
      </c>
      <c r="E25" s="15">
        <v>326.18311011551151</v>
      </c>
      <c r="F25" s="15">
        <v>96707.315433433294</v>
      </c>
      <c r="G25" s="15">
        <v>2115.7056626721023</v>
      </c>
      <c r="H25" s="15">
        <v>69904.853617021276</v>
      </c>
      <c r="I25" s="15">
        <v>1088.2714090629247</v>
      </c>
      <c r="J25" s="14">
        <v>576985.51844845118</v>
      </c>
      <c r="K25" s="15">
        <v>4389.679987912602</v>
      </c>
      <c r="L25" s="15">
        <v>2335.6886962934864</v>
      </c>
      <c r="M25" s="17"/>
    </row>
    <row r="26" spans="1:13" ht="15" customHeight="1" x14ac:dyDescent="0.25">
      <c r="A26" s="18" t="s">
        <v>25</v>
      </c>
      <c r="B26" s="15">
        <v>2968.4354546268692</v>
      </c>
      <c r="C26" s="15">
        <v>41.268069708597032</v>
      </c>
      <c r="D26" s="15">
        <v>104053.26923076923</v>
      </c>
      <c r="E26" s="15">
        <v>309.74182358400293</v>
      </c>
      <c r="F26" s="15">
        <v>90993.37052793082</v>
      </c>
      <c r="G26" s="15">
        <v>1990.6993429476213</v>
      </c>
      <c r="H26" s="15">
        <v>75700.573191489369</v>
      </c>
      <c r="I26" s="15">
        <v>1178.4985618496976</v>
      </c>
      <c r="J26" s="14">
        <v>546183.16542478476</v>
      </c>
      <c r="K26" s="15">
        <v>4137.3529079872769</v>
      </c>
      <c r="L26" s="15">
        <v>2213.4375827164863</v>
      </c>
      <c r="M26" s="17"/>
    </row>
    <row r="27" spans="1:13" ht="15" customHeight="1" x14ac:dyDescent="0.25">
      <c r="A27" s="19" t="s">
        <v>55</v>
      </c>
      <c r="B27" s="15">
        <v>525.2621380729579</v>
      </c>
      <c r="C27" s="15">
        <v>7.3023499619958141</v>
      </c>
      <c r="D27" s="15">
        <v>31902.942307692305</v>
      </c>
      <c r="E27" s="15">
        <v>94.967468116396063</v>
      </c>
      <c r="F27" s="15">
        <v>49194.62138224423</v>
      </c>
      <c r="G27" s="15">
        <v>1076.2509388761462</v>
      </c>
      <c r="H27" s="15">
        <v>29308.202553191488</v>
      </c>
      <c r="I27" s="15">
        <v>456.26701494010513</v>
      </c>
      <c r="J27" s="14">
        <v>223151.35828306933</v>
      </c>
      <c r="K27" s="15">
        <v>1671.4331830464616</v>
      </c>
      <c r="L27" s="15">
        <v>906.90310418169111</v>
      </c>
      <c r="M27" s="17"/>
    </row>
    <row r="28" spans="1:13" ht="15" customHeight="1" x14ac:dyDescent="0.25">
      <c r="A28" s="18" t="s">
        <v>26</v>
      </c>
      <c r="B28" s="15">
        <v>378.34973930159418</v>
      </c>
      <c r="C28" s="15">
        <v>5.2599302408245707</v>
      </c>
      <c r="D28" s="15">
        <v>18152.5</v>
      </c>
      <c r="E28" s="15">
        <v>54.035673210217389</v>
      </c>
      <c r="F28" s="15">
        <v>23673.202315363695</v>
      </c>
      <c r="G28" s="15">
        <v>517.90837092022002</v>
      </c>
      <c r="H28" s="15">
        <v>17730.070425531914</v>
      </c>
      <c r="I28" s="15">
        <v>276.01987167426518</v>
      </c>
      <c r="J28" s="14">
        <v>114348.9158691606</v>
      </c>
      <c r="K28" s="15">
        <v>857.17837126327629</v>
      </c>
      <c r="L28" s="15">
        <v>464.62860393802555</v>
      </c>
      <c r="M28" s="17"/>
    </row>
    <row r="29" spans="1:13" ht="15" customHeight="1" x14ac:dyDescent="0.25">
      <c r="A29" s="18" t="s">
        <v>27</v>
      </c>
      <c r="B29" s="15">
        <v>93.581185518745372</v>
      </c>
      <c r="C29" s="15">
        <v>1.3009933840337369</v>
      </c>
      <c r="D29" s="15">
        <v>10892.51923076923</v>
      </c>
      <c r="E29" s="15">
        <v>32.424437933609944</v>
      </c>
      <c r="F29" s="15">
        <v>15603.156705488527</v>
      </c>
      <c r="G29" s="15">
        <v>341.35666830794463</v>
      </c>
      <c r="H29" s="15">
        <v>12425.687021276597</v>
      </c>
      <c r="I29" s="15">
        <v>193.44178871046162</v>
      </c>
      <c r="J29" s="14">
        <v>71825.952712229555</v>
      </c>
      <c r="K29" s="15">
        <v>536.18928782624312</v>
      </c>
      <c r="L29" s="15">
        <v>292.14952493751468</v>
      </c>
      <c r="M29" s="17"/>
    </row>
    <row r="30" spans="1:13" ht="15" customHeight="1" x14ac:dyDescent="0.25">
      <c r="A30" s="19" t="s">
        <v>28</v>
      </c>
      <c r="B30" s="15">
        <v>529.28713529957054</v>
      </c>
      <c r="C30" s="15">
        <v>4.9055377777902915</v>
      </c>
      <c r="D30" s="15">
        <v>33021.038461538461</v>
      </c>
      <c r="E30" s="15">
        <v>65.530516214284958</v>
      </c>
      <c r="F30" s="15">
        <v>59152.953483506521</v>
      </c>
      <c r="G30" s="15">
        <v>862.74230712138865</v>
      </c>
      <c r="H30" s="15">
        <v>32936.924893617026</v>
      </c>
      <c r="I30" s="15">
        <v>341.83905513010541</v>
      </c>
      <c r="J30" s="14">
        <v>242013.46785290953</v>
      </c>
      <c r="K30" s="15">
        <v>1204.2968278808878</v>
      </c>
      <c r="L30" s="15">
        <v>656.27351562511149</v>
      </c>
      <c r="M30" s="17"/>
    </row>
    <row r="31" spans="1:13" ht="15" customHeight="1" x14ac:dyDescent="0.25">
      <c r="A31" s="18" t="s">
        <v>29</v>
      </c>
      <c r="B31" s="15">
        <v>1266.8678770763486</v>
      </c>
      <c r="C31" s="15">
        <v>11.741581867372581</v>
      </c>
      <c r="D31" s="15">
        <v>41039.326923076922</v>
      </c>
      <c r="E31" s="15">
        <v>81.442874108530887</v>
      </c>
      <c r="F31" s="15">
        <v>114993.14122323733</v>
      </c>
      <c r="G31" s="15">
        <v>1677.1681229701198</v>
      </c>
      <c r="H31" s="15">
        <v>36984.306595744682</v>
      </c>
      <c r="I31" s="15">
        <v>383.84519690791052</v>
      </c>
      <c r="J31" s="14">
        <v>521120.56317846442</v>
      </c>
      <c r="K31" s="15">
        <v>2607.6865219151982</v>
      </c>
      <c r="L31" s="15">
        <v>1411.166507993717</v>
      </c>
      <c r="M31" s="17"/>
    </row>
    <row r="32" spans="1:13" ht="15" customHeight="1" x14ac:dyDescent="0.25">
      <c r="A32" s="19" t="s">
        <v>30</v>
      </c>
      <c r="B32" s="15">
        <v>636.95581111146043</v>
      </c>
      <c r="C32" s="15">
        <v>5.9034323447552373</v>
      </c>
      <c r="D32" s="15">
        <v>27175.749999999996</v>
      </c>
      <c r="E32" s="15">
        <v>53.930494284260746</v>
      </c>
      <c r="F32" s="15">
        <v>56789.840574656526</v>
      </c>
      <c r="G32" s="15">
        <v>828.27644594443109</v>
      </c>
      <c r="H32" s="15">
        <v>25763.416808510639</v>
      </c>
      <c r="I32" s="15">
        <v>267.3881088532064</v>
      </c>
      <c r="J32" s="14">
        <v>298236.66947243473</v>
      </c>
      <c r="K32" s="15">
        <v>1487.2716119045158</v>
      </c>
      <c r="L32" s="15">
        <v>808.30127957422621</v>
      </c>
      <c r="M32" s="17"/>
    </row>
    <row r="33" spans="1:13" ht="15" customHeight="1" x14ac:dyDescent="0.25">
      <c r="A33" s="18" t="s">
        <v>54</v>
      </c>
      <c r="B33" s="15">
        <v>2125.1985356515079</v>
      </c>
      <c r="C33" s="15">
        <v>19.696760050747329</v>
      </c>
      <c r="D33" s="15">
        <v>84570.673076923063</v>
      </c>
      <c r="E33" s="15">
        <v>167.83118040867629</v>
      </c>
      <c r="F33" s="15">
        <v>261997.9976288444</v>
      </c>
      <c r="G33" s="15">
        <v>3821.2252072674391</v>
      </c>
      <c r="H33" s="15">
        <v>56843.500425531915</v>
      </c>
      <c r="I33" s="15">
        <v>589.95575751266472</v>
      </c>
      <c r="J33" s="14">
        <v>910479.68083363539</v>
      </c>
      <c r="K33" s="15">
        <v>4559.1681001495863</v>
      </c>
      <c r="L33" s="15">
        <v>2465.1056283391349</v>
      </c>
      <c r="M33" s="17"/>
    </row>
    <row r="34" spans="1:13" ht="15" customHeight="1" x14ac:dyDescent="0.25">
      <c r="A34" s="18" t="s">
        <v>53</v>
      </c>
      <c r="B34" s="15">
        <v>1943.0674111472829</v>
      </c>
      <c r="C34" s="15">
        <v>18.008732792610367</v>
      </c>
      <c r="D34" s="15">
        <v>77287.25</v>
      </c>
      <c r="E34" s="15">
        <v>153.37716877625206</v>
      </c>
      <c r="F34" s="15">
        <v>267675.87976846361</v>
      </c>
      <c r="G34" s="15">
        <v>3904.0367804556527</v>
      </c>
      <c r="H34" s="15">
        <v>90433.4929787234</v>
      </c>
      <c r="I34" s="15">
        <v>938.57273840256755</v>
      </c>
      <c r="J34" s="14">
        <v>809887.6200163695</v>
      </c>
      <c r="K34" s="15">
        <v>4065.7933610104769</v>
      </c>
      <c r="L34" s="15">
        <v>2191.352885204833</v>
      </c>
      <c r="M34" s="17"/>
    </row>
    <row r="35" spans="1:13" x14ac:dyDescent="0.25">
      <c r="A35" s="20" t="s">
        <v>31</v>
      </c>
      <c r="B35" s="15">
        <v>1106.8742373184934</v>
      </c>
      <c r="C35" s="15">
        <v>10.258729193097569</v>
      </c>
      <c r="D35" s="15">
        <v>50764.826923076922</v>
      </c>
      <c r="E35" s="15">
        <v>100.74320702157203</v>
      </c>
      <c r="F35" s="15">
        <v>209479.59132436014</v>
      </c>
      <c r="G35" s="15">
        <v>3055.2473760150588</v>
      </c>
      <c r="H35" s="15">
        <v>37659.89382978723</v>
      </c>
      <c r="I35" s="15">
        <v>390.85684424563215</v>
      </c>
      <c r="J35" s="14">
        <v>558448.46619304235</v>
      </c>
      <c r="K35" s="15">
        <v>2789.6868986480549</v>
      </c>
      <c r="L35" s="15">
        <v>1512.8980110764981</v>
      </c>
      <c r="M35" s="17"/>
    </row>
    <row r="36" spans="1:13" ht="15" customHeight="1" x14ac:dyDescent="0.25">
      <c r="A36" s="18" t="s">
        <v>52</v>
      </c>
      <c r="B36" s="15">
        <v>1267.8741263830018</v>
      </c>
      <c r="C36" s="15">
        <v>11.750907984820852</v>
      </c>
      <c r="D36" s="15">
        <v>47966.019230769234</v>
      </c>
      <c r="E36" s="15">
        <v>95.188950662400899</v>
      </c>
      <c r="F36" s="15">
        <v>165890.72654996862</v>
      </c>
      <c r="G36" s="15">
        <v>2419.5063766962953</v>
      </c>
      <c r="H36" s="15">
        <v>59281.756170212771</v>
      </c>
      <c r="I36" s="15">
        <v>615.26143017698735</v>
      </c>
      <c r="J36" s="14">
        <v>452500.28079834452</v>
      </c>
      <c r="K36" s="15">
        <v>2259.2732923541148</v>
      </c>
      <c r="L36" s="15">
        <v>1226.0297958789454</v>
      </c>
      <c r="M36" s="17"/>
    </row>
    <row r="37" spans="1:13" ht="15" customHeight="1" x14ac:dyDescent="0.25">
      <c r="A37" s="19" t="s">
        <v>51</v>
      </c>
      <c r="B37" s="15">
        <v>648.02455348464537</v>
      </c>
      <c r="C37" s="15">
        <v>6.0060196366862124</v>
      </c>
      <c r="D37" s="15">
        <v>23480.01923076923</v>
      </c>
      <c r="E37" s="15">
        <v>46.596286870438995</v>
      </c>
      <c r="F37" s="15">
        <v>42687.295627310137</v>
      </c>
      <c r="G37" s="15">
        <v>622.59166694942837</v>
      </c>
      <c r="H37" s="15">
        <v>31301.184893617024</v>
      </c>
      <c r="I37" s="15">
        <v>324.86236960634903</v>
      </c>
      <c r="J37" s="14">
        <v>252634.93523527411</v>
      </c>
      <c r="K37" s="15">
        <v>1261.7235475526838</v>
      </c>
      <c r="L37" s="15">
        <v>684.45571583478534</v>
      </c>
      <c r="M37" s="17"/>
    </row>
    <row r="38" spans="1:13" ht="15" customHeight="1" x14ac:dyDescent="0.25">
      <c r="A38" s="19" t="s">
        <v>32</v>
      </c>
      <c r="B38" s="15">
        <v>519.22464223303882</v>
      </c>
      <c r="C38" s="15">
        <v>4.8122766033075859</v>
      </c>
      <c r="D38" s="15">
        <v>15725.711538461539</v>
      </c>
      <c r="E38" s="15">
        <v>31.207800934323185</v>
      </c>
      <c r="F38" s="15">
        <v>25523.42255387405</v>
      </c>
      <c r="G38" s="15">
        <v>372.25759937588259</v>
      </c>
      <c r="H38" s="15">
        <v>16649.13085106383</v>
      </c>
      <c r="I38" s="15">
        <v>172.79461204248886</v>
      </c>
      <c r="J38" s="14">
        <v>170077.21040635341</v>
      </c>
      <c r="K38" s="15">
        <v>849.65886827658414</v>
      </c>
      <c r="L38" s="15">
        <v>460.75084695862398</v>
      </c>
      <c r="M38" s="17"/>
    </row>
    <row r="39" spans="1:13" ht="15" customHeight="1" x14ac:dyDescent="0.25">
      <c r="A39" s="18" t="s">
        <v>33</v>
      </c>
      <c r="B39" s="15">
        <v>239.4873349834559</v>
      </c>
      <c r="C39" s="15">
        <v>2.219615952688383</v>
      </c>
      <c r="D39" s="15">
        <v>11155.48076923077</v>
      </c>
      <c r="E39" s="15">
        <v>22.138141242217078</v>
      </c>
      <c r="F39" s="15">
        <v>22462.094427784366</v>
      </c>
      <c r="G39" s="15">
        <v>327.60831079733958</v>
      </c>
      <c r="H39" s="15">
        <v>17525.347021276597</v>
      </c>
      <c r="I39" s="15">
        <v>181.88850616535208</v>
      </c>
      <c r="J39" s="14">
        <v>135336.09983394682</v>
      </c>
      <c r="K39" s="15">
        <v>672.34438496035716</v>
      </c>
      <c r="L39" s="15">
        <v>367.14449258275715</v>
      </c>
      <c r="M39" s="17"/>
    </row>
    <row r="40" spans="1:13" ht="15" customHeight="1" x14ac:dyDescent="0.25">
      <c r="A40" s="18" t="s">
        <v>34</v>
      </c>
      <c r="B40" s="15">
        <v>372.31224346167511</v>
      </c>
      <c r="C40" s="15">
        <v>3.4506634558600906</v>
      </c>
      <c r="D40" s="15">
        <v>17746.846153846152</v>
      </c>
      <c r="E40" s="15">
        <v>35.218758822246116</v>
      </c>
      <c r="F40" s="15">
        <v>24227.166469070369</v>
      </c>
      <c r="G40" s="15">
        <v>353.35178150263829</v>
      </c>
      <c r="H40" s="15">
        <v>16880.468297872339</v>
      </c>
      <c r="I40" s="15">
        <v>175.19557007025415</v>
      </c>
      <c r="J40" s="14">
        <v>108951.79307189069</v>
      </c>
      <c r="K40" s="15">
        <v>543.04902851318843</v>
      </c>
      <c r="L40" s="15">
        <v>295.32665458153338</v>
      </c>
      <c r="M40" s="17"/>
    </row>
    <row r="41" spans="1:13" ht="15" customHeight="1" x14ac:dyDescent="0.25">
      <c r="A41" s="18" t="s">
        <v>35</v>
      </c>
      <c r="B41" s="15">
        <v>234.45608845019001</v>
      </c>
      <c r="C41" s="15">
        <v>2.1729853654470306</v>
      </c>
      <c r="D41" s="15">
        <v>9633.7692307692305</v>
      </c>
      <c r="E41" s="15">
        <v>19.118292464270059</v>
      </c>
      <c r="F41" s="15">
        <v>17528.507706255667</v>
      </c>
      <c r="G41" s="15">
        <v>255.65224199847694</v>
      </c>
      <c r="H41" s="15">
        <v>12111.436595744681</v>
      </c>
      <c r="I41" s="15">
        <v>125.69971409079176</v>
      </c>
      <c r="J41" s="14">
        <v>97895.939788859585</v>
      </c>
      <c r="K41" s="15">
        <v>488.2295943546568</v>
      </c>
      <c r="L41" s="15">
        <v>265.31962451966126</v>
      </c>
      <c r="M41" s="17"/>
    </row>
    <row r="42" spans="1:13" ht="15" customHeight="1" x14ac:dyDescent="0.25">
      <c r="A42" s="18" t="s">
        <v>36</v>
      </c>
      <c r="B42" s="15">
        <v>315.96228228909729</v>
      </c>
      <c r="C42" s="15">
        <v>2.9284008787569427</v>
      </c>
      <c r="D42" s="15">
        <v>9978.2692307692305</v>
      </c>
      <c r="E42" s="15">
        <v>19.801955482988138</v>
      </c>
      <c r="F42" s="15">
        <v>12684.07615593835</v>
      </c>
      <c r="G42" s="15">
        <v>184.99649606724853</v>
      </c>
      <c r="H42" s="15">
        <v>10410.185106382978</v>
      </c>
      <c r="I42" s="15">
        <v>108.04311124943816</v>
      </c>
      <c r="J42" s="14">
        <v>87144.644710340726</v>
      </c>
      <c r="K42" s="15">
        <v>434.85649943015898</v>
      </c>
      <c r="L42" s="15">
        <v>236.14785760226388</v>
      </c>
      <c r="M42" s="17"/>
    </row>
    <row r="43" spans="1:13" ht="15" customHeight="1" x14ac:dyDescent="0.25">
      <c r="A43" s="19" t="s">
        <v>37</v>
      </c>
      <c r="B43" s="15">
        <v>1221.5866582769556</v>
      </c>
      <c r="C43" s="15">
        <v>11.321906582200407</v>
      </c>
      <c r="D43" s="15">
        <v>15532.057692307693</v>
      </c>
      <c r="E43" s="15">
        <v>30.823493320250897</v>
      </c>
      <c r="F43" s="15">
        <v>29702.696422344656</v>
      </c>
      <c r="G43" s="15">
        <v>433.21206009240137</v>
      </c>
      <c r="H43" s="15">
        <v>24077.519574468086</v>
      </c>
      <c r="I43" s="15">
        <v>249.89086163316463</v>
      </c>
      <c r="J43" s="14">
        <v>195804.56950290719</v>
      </c>
      <c r="K43" s="15">
        <v>981.64909079218239</v>
      </c>
      <c r="L43" s="15">
        <v>529.97821625393271</v>
      </c>
      <c r="M43" s="17"/>
    </row>
    <row r="44" spans="1:13" ht="15" customHeight="1" x14ac:dyDescent="0.25">
      <c r="A44" s="19" t="s">
        <v>38</v>
      </c>
      <c r="B44" s="15">
        <v>620.85582220500953</v>
      </c>
      <c r="C44" s="15">
        <v>5.7542144655829084</v>
      </c>
      <c r="D44" s="15">
        <v>16904.961538461539</v>
      </c>
      <c r="E44" s="15">
        <v>33.548032036858146</v>
      </c>
      <c r="F44" s="15">
        <v>29644.595299532743</v>
      </c>
      <c r="G44" s="15">
        <v>432.36465867304423</v>
      </c>
      <c r="H44" s="15">
        <v>19362.739574468087</v>
      </c>
      <c r="I44" s="15">
        <v>200.9580621823375</v>
      </c>
      <c r="J44" s="14">
        <v>181716.80024803302</v>
      </c>
      <c r="K44" s="15">
        <v>907.28634215455702</v>
      </c>
      <c r="L44" s="15">
        <v>492.35392963369799</v>
      </c>
      <c r="M44" s="17"/>
    </row>
    <row r="45" spans="1:13" ht="15" customHeight="1" x14ac:dyDescent="0.25">
      <c r="A45" s="18" t="s">
        <v>39</v>
      </c>
      <c r="B45" s="15">
        <v>63.393706319150084</v>
      </c>
      <c r="C45" s="15">
        <v>0.58754539924104243</v>
      </c>
      <c r="D45" s="15">
        <v>2248.4230769230771</v>
      </c>
      <c r="E45" s="15">
        <v>4.4620136665446211</v>
      </c>
      <c r="F45" s="15">
        <v>15938.740776902156</v>
      </c>
      <c r="G45" s="15">
        <v>232.46558592054899</v>
      </c>
      <c r="H45" s="15">
        <v>5296.1944680851066</v>
      </c>
      <c r="I45" s="15">
        <v>54.967065644502753</v>
      </c>
      <c r="J45" s="14">
        <v>40578.476158891324</v>
      </c>
      <c r="K45" s="15">
        <v>203.32354244863012</v>
      </c>
      <c r="L45" s="15">
        <v>109.84785752760472</v>
      </c>
      <c r="M45" s="17"/>
    </row>
    <row r="46" spans="1:13" x14ac:dyDescent="0.25">
      <c r="A46" s="19" t="s">
        <v>40</v>
      </c>
      <c r="B46" s="15">
        <v>736.57449247012482</v>
      </c>
      <c r="C46" s="15">
        <v>5.1200384791005131</v>
      </c>
      <c r="D46" s="15">
        <v>35463.115384615383</v>
      </c>
      <c r="E46" s="15">
        <v>52.782628121176401</v>
      </c>
      <c r="F46" s="15">
        <v>106625.57779482529</v>
      </c>
      <c r="G46" s="15">
        <v>1166.345781160042</v>
      </c>
      <c r="H46" s="15">
        <v>51539.117021276594</v>
      </c>
      <c r="I46" s="15">
        <v>401.17777665259666</v>
      </c>
      <c r="J46" s="14">
        <v>367445.56915166002</v>
      </c>
      <c r="K46" s="15">
        <v>1381.3602170234549</v>
      </c>
      <c r="L46" s="15">
        <v>745.95008661761096</v>
      </c>
      <c r="M46" s="17"/>
    </row>
    <row r="47" spans="1:13" ht="15" customHeight="1" x14ac:dyDescent="0.25">
      <c r="A47" s="19" t="s">
        <v>41</v>
      </c>
      <c r="B47" s="15">
        <v>836.19317382878921</v>
      </c>
      <c r="C47" s="15">
        <v>5.8125026996345994</v>
      </c>
      <c r="D47" s="15">
        <v>48703.942307692312</v>
      </c>
      <c r="E47" s="15">
        <v>72.490023704386232</v>
      </c>
      <c r="F47" s="15">
        <v>87031.474998256497</v>
      </c>
      <c r="G47" s="15">
        <v>952.01166353987628</v>
      </c>
      <c r="H47" s="15">
        <v>41224.128297872347</v>
      </c>
      <c r="I47" s="15">
        <v>320.88644685461827</v>
      </c>
      <c r="J47" s="14">
        <v>353179.16479606228</v>
      </c>
      <c r="K47" s="15">
        <v>1324.3906541628292</v>
      </c>
      <c r="L47" s="15">
        <v>717.4405699097681</v>
      </c>
      <c r="M47" s="17"/>
    </row>
    <row r="48" spans="1:13" ht="15" customHeight="1" x14ac:dyDescent="0.25">
      <c r="A48" s="19" t="s">
        <v>42</v>
      </c>
      <c r="B48" s="15">
        <v>772.79946750963916</v>
      </c>
      <c r="C48" s="15">
        <v>5.3718436502038172</v>
      </c>
      <c r="D48" s="15">
        <v>45606.5</v>
      </c>
      <c r="E48" s="15">
        <v>67.879849339258485</v>
      </c>
      <c r="F48" s="15">
        <v>62534.839528558477</v>
      </c>
      <c r="G48" s="15">
        <v>684.05018540677167</v>
      </c>
      <c r="H48" s="15">
        <v>43029.788723404257</v>
      </c>
      <c r="I48" s="15">
        <v>334.94161265432388</v>
      </c>
      <c r="J48" s="14">
        <v>374951.17182632239</v>
      </c>
      <c r="K48" s="15">
        <v>1402.8790623153109</v>
      </c>
      <c r="L48" s="15">
        <v>762.09569163977585</v>
      </c>
      <c r="M48" s="17"/>
    </row>
    <row r="49" spans="1:13" ht="15" customHeight="1" x14ac:dyDescent="0.25">
      <c r="A49" s="19" t="s">
        <v>50</v>
      </c>
      <c r="B49" s="15">
        <v>581.61209924553577</v>
      </c>
      <c r="C49" s="15">
        <v>4.0428719138252696</v>
      </c>
      <c r="D49" s="15">
        <v>39622.596153846156</v>
      </c>
      <c r="E49" s="15">
        <v>58.973520383133099</v>
      </c>
      <c r="F49" s="15">
        <v>81271.449891903205</v>
      </c>
      <c r="G49" s="15">
        <v>889.00444593681141</v>
      </c>
      <c r="H49" s="15">
        <v>65206.451489361702</v>
      </c>
      <c r="I49" s="15">
        <v>507.56358944039152</v>
      </c>
      <c r="J49" s="14">
        <v>286110.95788124524</v>
      </c>
      <c r="K49" s="15">
        <v>1072.3778134910797</v>
      </c>
      <c r="L49" s="15">
        <v>581.2692422450524</v>
      </c>
      <c r="M49" s="17"/>
    </row>
    <row r="50" spans="1:13" ht="15" customHeight="1" x14ac:dyDescent="0.25">
      <c r="A50" s="19" t="s">
        <v>43</v>
      </c>
      <c r="B50" s="15">
        <v>753.68073068322883</v>
      </c>
      <c r="C50" s="15">
        <v>5.2389464765659621</v>
      </c>
      <c r="D50" s="15">
        <v>29017.5</v>
      </c>
      <c r="E50" s="15">
        <v>43.189096470940171</v>
      </c>
      <c r="F50" s="15">
        <v>58398.640630448426</v>
      </c>
      <c r="G50" s="15">
        <v>638.80552427928376</v>
      </c>
      <c r="H50" s="15">
        <v>19955.413829787234</v>
      </c>
      <c r="I50" s="15">
        <v>155.33189187373134</v>
      </c>
      <c r="J50" s="14">
        <v>244724.23110268678</v>
      </c>
      <c r="K50" s="15">
        <v>918.8415585306434</v>
      </c>
      <c r="L50" s="15">
        <v>496.97191292702911</v>
      </c>
      <c r="M50" s="17"/>
    </row>
    <row r="51" spans="1:13" x14ac:dyDescent="0.25">
      <c r="A51" s="19" t="s">
        <v>44</v>
      </c>
      <c r="B51" s="15">
        <v>762.73697444310733</v>
      </c>
      <c r="C51" s="15">
        <v>5.3018977693417879</v>
      </c>
      <c r="D51" s="15">
        <v>29797.211538461535</v>
      </c>
      <c r="E51" s="15">
        <v>44.349604331855843</v>
      </c>
      <c r="F51" s="15">
        <v>80212.607015830959</v>
      </c>
      <c r="G51" s="15">
        <v>877.42207567482183</v>
      </c>
      <c r="H51" s="15">
        <v>43481.203829787235</v>
      </c>
      <c r="I51" s="15">
        <v>338.45540410425031</v>
      </c>
      <c r="J51" s="14">
        <v>363209.08643504733</v>
      </c>
      <c r="K51" s="15">
        <v>1362.1211738623001</v>
      </c>
      <c r="L51" s="15">
        <v>737.7989678283227</v>
      </c>
      <c r="M51" s="17"/>
    </row>
    <row r="52" spans="1:13" ht="15" customHeight="1" x14ac:dyDescent="0.25">
      <c r="A52" s="19" t="s">
        <v>45</v>
      </c>
      <c r="B52" s="15">
        <v>420.61221018102754</v>
      </c>
      <c r="C52" s="15">
        <v>2.9237378200328066</v>
      </c>
      <c r="D52" s="15">
        <v>25120.980769230766</v>
      </c>
      <c r="E52" s="15">
        <v>37.389591173841318</v>
      </c>
      <c r="F52" s="15">
        <v>52157.778645651721</v>
      </c>
      <c r="G52" s="15">
        <v>570.53857372848461</v>
      </c>
      <c r="H52" s="15">
        <v>22287.213404255323</v>
      </c>
      <c r="I52" s="15">
        <v>173.4824971411517</v>
      </c>
      <c r="J52" s="14">
        <v>187000.68986670222</v>
      </c>
      <c r="K52" s="15">
        <v>700.31603831583618</v>
      </c>
      <c r="L52" s="15">
        <v>379.99398600181684</v>
      </c>
      <c r="M52" s="17"/>
    </row>
    <row r="53" spans="1:13" ht="15" customHeight="1" x14ac:dyDescent="0.25">
      <c r="A53" s="18" t="s">
        <v>46</v>
      </c>
      <c r="B53" s="15">
        <v>111.69367303850254</v>
      </c>
      <c r="C53" s="15">
        <v>0.77639927756852045</v>
      </c>
      <c r="D53" s="15">
        <v>10791.615384615383</v>
      </c>
      <c r="E53" s="15">
        <v>16.062035596568826</v>
      </c>
      <c r="F53" s="15">
        <v>15482.947485877676</v>
      </c>
      <c r="G53" s="15">
        <v>169.36340091703875</v>
      </c>
      <c r="H53" s="15">
        <v>13407.335744680851</v>
      </c>
      <c r="I53" s="15">
        <v>104.36199639713428</v>
      </c>
      <c r="J53" s="14">
        <v>86665.355997470484</v>
      </c>
      <c r="K53" s="15">
        <v>324.82818560829219</v>
      </c>
      <c r="L53" s="15">
        <v>176.07174370358493</v>
      </c>
      <c r="M53" s="17"/>
    </row>
    <row r="54" spans="1:13" x14ac:dyDescent="0.25">
      <c r="A54" s="19" t="s">
        <v>49</v>
      </c>
      <c r="B54" s="15">
        <v>610.79332913847782</v>
      </c>
      <c r="C54" s="15">
        <v>4.2457149683251529</v>
      </c>
      <c r="D54" s="15">
        <v>29853.26923076923</v>
      </c>
      <c r="E54" s="15">
        <v>44.433039537542591</v>
      </c>
      <c r="F54" s="15">
        <v>42465.910314526816</v>
      </c>
      <c r="G54" s="15">
        <v>464.52208150071874</v>
      </c>
      <c r="H54" s="15">
        <v>29354.265319148937</v>
      </c>
      <c r="I54" s="15">
        <v>228.49205761800428</v>
      </c>
      <c r="J54" s="14">
        <v>212482.05964422686</v>
      </c>
      <c r="K54" s="15">
        <v>797.63224174076538</v>
      </c>
      <c r="L54" s="15">
        <v>431.5170990840744</v>
      </c>
      <c r="M54" s="17"/>
    </row>
    <row r="55" spans="1:13" ht="15" customHeight="1" x14ac:dyDescent="0.25">
      <c r="A55" s="18" t="s">
        <v>47</v>
      </c>
      <c r="B55" s="15">
        <v>62.38745701249691</v>
      </c>
      <c r="C55" s="15">
        <v>0.43366446134457898</v>
      </c>
      <c r="D55" s="15">
        <v>3899.5769230769229</v>
      </c>
      <c r="E55" s="15">
        <v>5.8040563083181276</v>
      </c>
      <c r="F55" s="15">
        <v>9848.1403166190103</v>
      </c>
      <c r="G55" s="15">
        <v>107.72590543577951</v>
      </c>
      <c r="H55" s="15">
        <v>9310.820425531916</v>
      </c>
      <c r="I55" s="15">
        <v>72.474936572631975</v>
      </c>
      <c r="J55" s="14">
        <v>44213.651651210574</v>
      </c>
      <c r="K55" s="15">
        <v>165.61889161951743</v>
      </c>
      <c r="L55" s="15">
        <v>89.838861572564156</v>
      </c>
      <c r="M55" s="17"/>
    </row>
    <row r="56" spans="1:13" ht="15.75" thickBot="1" x14ac:dyDescent="0.3">
      <c r="A56" s="3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</row>
    <row r="57" spans="1:13" s="11" customFormat="1" ht="15.75" thickBot="1" x14ac:dyDescent="0.3">
      <c r="A57" s="36" t="s">
        <v>48</v>
      </c>
      <c r="B57" s="37">
        <f>SUM(B4:B56)</f>
        <v>65327.913856936852</v>
      </c>
      <c r="C57" s="37">
        <f t="shared" ref="C57:I57" si="0">SUM(C4:C56)</f>
        <v>1373.1305898552662</v>
      </c>
      <c r="D57" s="37">
        <f t="shared" si="0"/>
        <v>2276546.7115384615</v>
      </c>
      <c r="E57" s="37">
        <f t="shared" si="0"/>
        <v>8960.8753539279915</v>
      </c>
      <c r="F57" s="37">
        <f t="shared" si="0"/>
        <v>5402642.094706743</v>
      </c>
      <c r="G57" s="37">
        <f t="shared" si="0"/>
        <v>155693.56120609908</v>
      </c>
      <c r="H57" s="37">
        <f t="shared" si="0"/>
        <v>2463396.8023404251</v>
      </c>
      <c r="I57" s="37">
        <f t="shared" si="0"/>
        <v>58178.094693571766</v>
      </c>
      <c r="J57" s="37">
        <f>SUM(J4:J56)</f>
        <v>23500000</v>
      </c>
      <c r="K57" s="37">
        <f>SUM(K4:K56)</f>
        <v>240000.00000000015</v>
      </c>
      <c r="L57" s="38">
        <f>SUM(L4:L56)</f>
        <v>130000.00000000001</v>
      </c>
    </row>
    <row r="58" spans="1:13" ht="15.75" thickBot="1" x14ac:dyDescent="0.3">
      <c r="B58" s="9"/>
    </row>
    <row r="59" spans="1:13" ht="15.75" thickBot="1" x14ac:dyDescent="0.3">
      <c r="A59" s="42" t="s">
        <v>67</v>
      </c>
      <c r="B59" s="10"/>
      <c r="C59" s="4"/>
      <c r="I59" s="42">
        <v>60</v>
      </c>
      <c r="J59" s="29"/>
      <c r="K59" s="42">
        <v>60</v>
      </c>
    </row>
    <row r="60" spans="1:13" ht="30.75" thickBot="1" x14ac:dyDescent="0.3">
      <c r="A60" s="44" t="s">
        <v>66</v>
      </c>
      <c r="B60" s="10"/>
      <c r="C60" s="2"/>
      <c r="D60" s="9"/>
      <c r="E60" s="9"/>
      <c r="I60" s="42">
        <v>20</v>
      </c>
      <c r="J60" s="29"/>
      <c r="K60" s="42">
        <v>10</v>
      </c>
    </row>
    <row r="61" spans="1:13" x14ac:dyDescent="0.25">
      <c r="B61" s="10"/>
      <c r="C61" s="2"/>
      <c r="D61" s="5"/>
      <c r="E61" s="6"/>
      <c r="F61" s="33"/>
    </row>
    <row r="67" spans="4:5" x14ac:dyDescent="0.25">
      <c r="D67" s="9"/>
      <c r="E67" s="9"/>
    </row>
    <row r="68" spans="4:5" x14ac:dyDescent="0.25">
      <c r="D68" s="5"/>
      <c r="E68" s="6"/>
    </row>
    <row r="69" spans="4:5" x14ac:dyDescent="0.25">
      <c r="D69" s="5"/>
      <c r="E69" s="8"/>
    </row>
    <row r="70" spans="4:5" ht="15" customHeight="1" x14ac:dyDescent="0.25">
      <c r="D70" s="5"/>
    </row>
    <row r="71" spans="4:5" x14ac:dyDescent="0.25">
      <c r="D71" s="7"/>
    </row>
    <row r="81" spans="2:12" ht="15" customHeight="1" x14ac:dyDescent="0.25"/>
    <row r="91" spans="2:12" x14ac:dyDescent="0.25">
      <c r="B91" s="3"/>
      <c r="C91" s="3"/>
      <c r="D91" s="3"/>
      <c r="E91" s="3"/>
    </row>
    <row r="92" spans="2:12" ht="15" customHeight="1" x14ac:dyDescent="0.25">
      <c r="C92" s="4"/>
      <c r="D92" s="4"/>
      <c r="E92" s="2"/>
      <c r="G92" s="3"/>
      <c r="H92" s="3"/>
      <c r="I92" s="3"/>
      <c r="J92" s="3"/>
      <c r="K92" s="3"/>
      <c r="L92" s="3"/>
    </row>
    <row r="93" spans="2:12" x14ac:dyDescent="0.25">
      <c r="H93" s="2"/>
      <c r="I93" s="2"/>
      <c r="J93" s="2"/>
      <c r="K93" s="2"/>
      <c r="L93" s="2"/>
    </row>
    <row r="98" spans="2:10" x14ac:dyDescent="0.25">
      <c r="J98" s="4"/>
    </row>
    <row r="99" spans="2:10" x14ac:dyDescent="0.25">
      <c r="J99" s="4"/>
    </row>
    <row r="100" spans="2:10" x14ac:dyDescent="0.25">
      <c r="J100" s="4"/>
    </row>
    <row r="103" spans="2:10" ht="15" customHeight="1" x14ac:dyDescent="0.25"/>
    <row r="112" spans="2:10" x14ac:dyDescent="0.25">
      <c r="B112" s="3"/>
      <c r="C112" s="3"/>
      <c r="D112" s="3"/>
      <c r="E112" s="3"/>
    </row>
    <row r="113" spans="3:5" x14ac:dyDescent="0.25">
      <c r="C113" s="2"/>
      <c r="D113" s="2"/>
      <c r="E113" s="2"/>
    </row>
    <row r="114" spans="3:5" ht="15" customHeight="1" x14ac:dyDescent="0.25"/>
    <row r="125" spans="3:5" ht="15" customHeight="1" x14ac:dyDescent="0.25"/>
    <row r="136" ht="15" customHeight="1" x14ac:dyDescent="0.25"/>
    <row r="147" ht="15" customHeight="1" x14ac:dyDescent="0.25"/>
    <row r="158" ht="15" customHeight="1" x14ac:dyDescent="0.25"/>
    <row r="169" ht="15" customHeight="1" x14ac:dyDescent="0.25"/>
    <row r="180" ht="15" customHeight="1" x14ac:dyDescent="0.25"/>
    <row r="191" ht="15" customHeight="1" x14ac:dyDescent="0.25"/>
    <row r="202" ht="15" customHeight="1" x14ac:dyDescent="0.25"/>
    <row r="213" ht="15" customHeight="1" x14ac:dyDescent="0.25"/>
    <row r="224" ht="15" customHeight="1" x14ac:dyDescent="0.25"/>
    <row r="235" ht="15" customHeight="1" x14ac:dyDescent="0.25"/>
    <row r="246" ht="15" customHeight="1" x14ac:dyDescent="0.25"/>
    <row r="257" ht="15" customHeight="1" x14ac:dyDescent="0.25"/>
    <row r="268" ht="15" customHeight="1" x14ac:dyDescent="0.25"/>
    <row r="279" ht="15" customHeight="1" x14ac:dyDescent="0.25"/>
    <row r="290" ht="15" customHeight="1" x14ac:dyDescent="0.25"/>
    <row r="301" ht="15" customHeight="1" x14ac:dyDescent="0.25"/>
    <row r="312" ht="15" customHeight="1" x14ac:dyDescent="0.25"/>
    <row r="323" ht="15" customHeight="1" x14ac:dyDescent="0.25"/>
    <row r="334" ht="15" customHeight="1" x14ac:dyDescent="0.25"/>
    <row r="345" ht="15" customHeight="1" x14ac:dyDescent="0.25"/>
    <row r="356" ht="15" customHeight="1" x14ac:dyDescent="0.25"/>
    <row r="367" ht="15" customHeight="1" x14ac:dyDescent="0.25"/>
    <row r="378" ht="15" customHeight="1" x14ac:dyDescent="0.25"/>
    <row r="389" ht="15" customHeight="1" x14ac:dyDescent="0.25"/>
    <row r="400" ht="15" customHeight="1" x14ac:dyDescent="0.25"/>
    <row r="411" ht="15" customHeight="1" x14ac:dyDescent="0.25"/>
    <row r="422" ht="15" customHeight="1" x14ac:dyDescent="0.25"/>
    <row r="433" ht="15" customHeight="1" x14ac:dyDescent="0.25"/>
    <row r="444" ht="15" customHeight="1" x14ac:dyDescent="0.25"/>
    <row r="455" ht="15" customHeight="1" x14ac:dyDescent="0.25"/>
  </sheetData>
  <autoFilter ref="A3:L55" xr:uid="{00000000-0009-0000-0000-000001000000}"/>
  <mergeCells count="7">
    <mergeCell ref="A1:A2"/>
    <mergeCell ref="B2:C2"/>
    <mergeCell ref="D2:E2"/>
    <mergeCell ref="F2:G2"/>
    <mergeCell ref="H2:I2"/>
    <mergeCell ref="B1:L1"/>
    <mergeCell ref="J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5"/>
  <sheetViews>
    <sheetView zoomScale="80" zoomScaleNormal="80" workbookViewId="0">
      <pane xSplit="1" ySplit="3" topLeftCell="B49" activePane="bottomRight" state="frozen"/>
      <selection pane="topRight" activeCell="C1" sqref="C1"/>
      <selection pane="bottomLeft" activeCell="A4" sqref="A4"/>
      <selection pane="bottomRight" activeCell="B3" sqref="B1:G1048576"/>
    </sheetView>
  </sheetViews>
  <sheetFormatPr baseColWidth="10" defaultColWidth="11.42578125" defaultRowHeight="15" x14ac:dyDescent="0.25"/>
  <cols>
    <col min="1" max="1" width="25.28515625" style="1" bestFit="1" customWidth="1"/>
    <col min="2" max="2" width="14.5703125" style="1" hidden="1" customWidth="1"/>
    <col min="3" max="3" width="10.140625" style="1" hidden="1" customWidth="1"/>
    <col min="4" max="4" width="15.5703125" style="1" hidden="1" customWidth="1"/>
    <col min="5" max="5" width="11.7109375" style="1" hidden="1" customWidth="1"/>
    <col min="6" max="6" width="15.5703125" style="1" hidden="1" customWidth="1"/>
    <col min="7" max="7" width="12.85546875" style="1" hidden="1" customWidth="1"/>
    <col min="8" max="8" width="15.5703125" style="1" customWidth="1"/>
    <col min="9" max="9" width="11.7109375" style="1" customWidth="1"/>
    <col min="10" max="11" width="16.5703125" style="1" customWidth="1"/>
    <col min="12" max="12" width="12.85546875" style="1" customWidth="1"/>
    <col min="13" max="13" width="50.42578125" style="1" customWidth="1"/>
    <col min="14" max="16384" width="11.42578125" style="1"/>
  </cols>
  <sheetData>
    <row r="1" spans="1:12" ht="26.25" customHeight="1" x14ac:dyDescent="0.25">
      <c r="A1" s="51">
        <v>2025</v>
      </c>
      <c r="B1" s="53" t="s">
        <v>2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60" customHeight="1" thickBot="1" x14ac:dyDescent="0.3">
      <c r="A2" s="52"/>
      <c r="B2" s="54" t="s">
        <v>3</v>
      </c>
      <c r="C2" s="54"/>
      <c r="D2" s="54" t="s">
        <v>4</v>
      </c>
      <c r="E2" s="54"/>
      <c r="F2" s="54" t="s">
        <v>5</v>
      </c>
      <c r="G2" s="54"/>
      <c r="H2" s="54" t="s">
        <v>1</v>
      </c>
      <c r="I2" s="54"/>
      <c r="J2" s="54" t="s">
        <v>6</v>
      </c>
      <c r="K2" s="54"/>
      <c r="L2" s="54"/>
    </row>
    <row r="3" spans="1:12" x14ac:dyDescent="0.25">
      <c r="A3" s="24" t="s">
        <v>0</v>
      </c>
      <c r="B3" s="30" t="s">
        <v>7</v>
      </c>
      <c r="C3" s="30" t="s">
        <v>8</v>
      </c>
      <c r="D3" s="30" t="s">
        <v>7</v>
      </c>
      <c r="E3" s="30" t="s">
        <v>8</v>
      </c>
      <c r="F3" s="30" t="s">
        <v>7</v>
      </c>
      <c r="G3" s="30" t="s">
        <v>8</v>
      </c>
      <c r="H3" s="30" t="s">
        <v>7</v>
      </c>
      <c r="I3" s="30" t="s">
        <v>8</v>
      </c>
      <c r="J3" s="30" t="s">
        <v>7</v>
      </c>
      <c r="K3" s="30" t="s">
        <v>9</v>
      </c>
      <c r="L3" s="26" t="s">
        <v>10</v>
      </c>
    </row>
    <row r="4" spans="1:12" ht="15" customHeight="1" x14ac:dyDescent="0.25">
      <c r="A4" s="18" t="s">
        <v>63</v>
      </c>
      <c r="B4" s="15">
        <v>11164.984615384616</v>
      </c>
      <c r="C4" s="15">
        <v>1581.241841833436</v>
      </c>
      <c r="D4" s="15">
        <v>228155.61538461535</v>
      </c>
      <c r="E4" s="15">
        <v>9377.4247926272674</v>
      </c>
      <c r="F4" s="15">
        <v>460439.86756398634</v>
      </c>
      <c r="G4" s="15">
        <v>75314.669547867306</v>
      </c>
      <c r="H4" s="15">
        <v>406649.79999999993</v>
      </c>
      <c r="I4" s="15">
        <v>63699.60253301925</v>
      </c>
      <c r="J4" s="14">
        <v>3593479.3889030488</v>
      </c>
      <c r="K4" s="14">
        <v>258171.11443953335</v>
      </c>
      <c r="L4" s="15">
        <v>172114.07629302226</v>
      </c>
    </row>
    <row r="5" spans="1:12" ht="15" customHeight="1" x14ac:dyDescent="0.25">
      <c r="A5" s="18" t="s">
        <v>62</v>
      </c>
      <c r="B5" s="15">
        <v>1977.5778278830696</v>
      </c>
      <c r="C5" s="15">
        <v>191.36523775884527</v>
      </c>
      <c r="D5" s="15">
        <v>42170.830769230757</v>
      </c>
      <c r="E5" s="15">
        <v>866.63173578794806</v>
      </c>
      <c r="F5" s="15">
        <v>73134.447939186837</v>
      </c>
      <c r="G5" s="15">
        <v>8093.4680598687055</v>
      </c>
      <c r="H5" s="15">
        <v>39807.276923076919</v>
      </c>
      <c r="I5" s="15">
        <v>4157.0703144275167</v>
      </c>
      <c r="J5" s="14">
        <v>495943.91775831865</v>
      </c>
      <c r="K5" s="14">
        <v>23659.529962147371</v>
      </c>
      <c r="L5" s="15">
        <v>15865.098449153429</v>
      </c>
    </row>
    <row r="6" spans="1:12" ht="15" customHeight="1" x14ac:dyDescent="0.25">
      <c r="A6" s="23" t="s">
        <v>11</v>
      </c>
      <c r="B6" s="15">
        <v>6556.9127980678695</v>
      </c>
      <c r="C6" s="15">
        <v>634.49597728826529</v>
      </c>
      <c r="D6" s="15">
        <v>205971.39999999994</v>
      </c>
      <c r="E6" s="15">
        <v>4232.8156369856069</v>
      </c>
      <c r="F6" s="15">
        <v>811393.16158727941</v>
      </c>
      <c r="G6" s="15">
        <v>89793.316588143905</v>
      </c>
      <c r="H6" s="15">
        <v>254687.61538461535</v>
      </c>
      <c r="I6" s="15">
        <v>26597.004548028763</v>
      </c>
      <c r="J6" s="14">
        <v>2366953.3412843016</v>
      </c>
      <c r="K6" s="14">
        <v>113598.4643780027</v>
      </c>
      <c r="L6" s="15">
        <v>75507.408226500062</v>
      </c>
    </row>
    <row r="7" spans="1:12" ht="15" customHeight="1" x14ac:dyDescent="0.25">
      <c r="A7" s="19" t="s">
        <v>61</v>
      </c>
      <c r="B7" s="15">
        <v>978</v>
      </c>
      <c r="C7" s="15">
        <v>82.812985205064038</v>
      </c>
      <c r="D7" s="15">
        <v>28976.984615384608</v>
      </c>
      <c r="E7" s="15">
        <v>595.49157597943872</v>
      </c>
      <c r="F7" s="15">
        <v>78252.686031103978</v>
      </c>
      <c r="G7" s="15">
        <v>8659.8809841062684</v>
      </c>
      <c r="H7" s="15">
        <v>30650.95384615384</v>
      </c>
      <c r="I7" s="15">
        <v>3200.8763269327687</v>
      </c>
      <c r="J7" s="14">
        <v>311069.4861257372</v>
      </c>
      <c r="K7" s="14">
        <v>14818.815477464248</v>
      </c>
      <c r="L7" s="15">
        <v>9957.5497444026096</v>
      </c>
    </row>
    <row r="8" spans="1:12" ht="15" customHeight="1" x14ac:dyDescent="0.25">
      <c r="A8" s="19" t="s">
        <v>12</v>
      </c>
      <c r="B8" s="15">
        <v>544.38940205769893</v>
      </c>
      <c r="C8" s="15">
        <v>52.67919466395179</v>
      </c>
      <c r="D8" s="15">
        <v>12936.153846153844</v>
      </c>
      <c r="E8" s="15">
        <v>265.84445356224944</v>
      </c>
      <c r="F8" s="15">
        <v>21666.27198549411</v>
      </c>
      <c r="G8" s="15">
        <v>2397.711136574615</v>
      </c>
      <c r="H8" s="15">
        <v>15197.661538461534</v>
      </c>
      <c r="I8" s="15">
        <v>1587.0904144571141</v>
      </c>
      <c r="J8" s="14">
        <v>150958.4777340205</v>
      </c>
      <c r="K8" s="14">
        <v>7181.5886254117577</v>
      </c>
      <c r="L8" s="15">
        <v>4835.3246164362299</v>
      </c>
    </row>
    <row r="9" spans="1:12" ht="15" customHeight="1" x14ac:dyDescent="0.25">
      <c r="A9" s="20" t="s">
        <v>13</v>
      </c>
      <c r="B9" s="15">
        <v>2760.3269681330075</v>
      </c>
      <c r="C9" s="15">
        <v>267.10990541109504</v>
      </c>
      <c r="D9" s="15">
        <v>81375.107692307676</v>
      </c>
      <c r="E9" s="15">
        <v>1672.2993012689517</v>
      </c>
      <c r="F9" s="15">
        <v>224697.07008856963</v>
      </c>
      <c r="G9" s="15">
        <v>24866.237609670789</v>
      </c>
      <c r="H9" s="15">
        <v>58502.338461538449</v>
      </c>
      <c r="I9" s="15">
        <v>6109.3938933076488</v>
      </c>
      <c r="J9" s="14">
        <v>690713.2095184325</v>
      </c>
      <c r="K9" s="14">
        <v>33075.499911083731</v>
      </c>
      <c r="L9" s="15">
        <v>22057.217866247534</v>
      </c>
    </row>
    <row r="10" spans="1:12" ht="15" customHeight="1" x14ac:dyDescent="0.25">
      <c r="A10" s="22" t="s">
        <v>60</v>
      </c>
      <c r="B10" s="15">
        <v>2450.2573087049677</v>
      </c>
      <c r="C10" s="15">
        <v>141.02794070121436</v>
      </c>
      <c r="D10" s="15">
        <v>125083.84615384613</v>
      </c>
      <c r="E10" s="15">
        <v>1285.2679059672896</v>
      </c>
      <c r="F10" s="15">
        <v>313333.64237394521</v>
      </c>
      <c r="G10" s="15">
        <v>18858.725780463705</v>
      </c>
      <c r="H10" s="15">
        <v>90272.707692307682</v>
      </c>
      <c r="I10" s="15">
        <v>4713.5853336043519</v>
      </c>
      <c r="J10" s="14">
        <v>1203224.354221961</v>
      </c>
      <c r="K10" s="14">
        <v>28814.131453926966</v>
      </c>
      <c r="L10" s="15">
        <v>19210.125874887523</v>
      </c>
    </row>
    <row r="11" spans="1:12" ht="15" customHeight="1" x14ac:dyDescent="0.25">
      <c r="A11" s="21" t="s">
        <v>14</v>
      </c>
      <c r="B11" s="15">
        <v>857.48905815767421</v>
      </c>
      <c r="C11" s="15">
        <v>49.353966057432402</v>
      </c>
      <c r="D11" s="15">
        <v>34051.461538461532</v>
      </c>
      <c r="E11" s="15">
        <v>349.88731169039482</v>
      </c>
      <c r="F11" s="15">
        <v>54682.116605063115</v>
      </c>
      <c r="G11" s="15">
        <v>3291.1724203541098</v>
      </c>
      <c r="H11" s="15">
        <v>40188.661538461536</v>
      </c>
      <c r="I11" s="15">
        <v>2098.4491375904918</v>
      </c>
      <c r="J11" s="14">
        <v>311743.02830879309</v>
      </c>
      <c r="K11" s="14">
        <v>7434.1420647972991</v>
      </c>
      <c r="L11" s="15">
        <v>4983.2777270331535</v>
      </c>
    </row>
    <row r="12" spans="1:12" ht="15" customHeight="1" x14ac:dyDescent="0.25">
      <c r="A12" s="19" t="s">
        <v>15</v>
      </c>
      <c r="B12" s="15">
        <v>530.24941758866771</v>
      </c>
      <c r="C12" s="15">
        <v>30.519236961309787</v>
      </c>
      <c r="D12" s="15">
        <v>35974.876923076918</v>
      </c>
      <c r="E12" s="15">
        <v>369.65088740143699</v>
      </c>
      <c r="F12" s="15">
        <v>69078.164028174899</v>
      </c>
      <c r="G12" s="15">
        <v>4157.6325572806381</v>
      </c>
      <c r="H12" s="15">
        <v>33696.876923076918</v>
      </c>
      <c r="I12" s="15">
        <v>1759.4808986373275</v>
      </c>
      <c r="J12" s="14">
        <v>294834.73106663162</v>
      </c>
      <c r="K12" s="14">
        <v>7012.4641605985889</v>
      </c>
      <c r="L12" s="15">
        <v>4716.6124065173053</v>
      </c>
    </row>
    <row r="13" spans="1:12" ht="15" customHeight="1" x14ac:dyDescent="0.25">
      <c r="A13" s="19" t="s">
        <v>16</v>
      </c>
      <c r="B13" s="15">
        <v>624.1793144186604</v>
      </c>
      <c r="C13" s="15">
        <v>35.925501794456096</v>
      </c>
      <c r="D13" s="15">
        <v>19848.492307692304</v>
      </c>
      <c r="E13" s="15">
        <v>203.94823895596315</v>
      </c>
      <c r="F13" s="15">
        <v>41840.39305390892</v>
      </c>
      <c r="G13" s="15">
        <v>2518.2629390584061</v>
      </c>
      <c r="H13" s="15">
        <v>17681.81538461538</v>
      </c>
      <c r="I13" s="15">
        <v>923.25518752025664</v>
      </c>
      <c r="J13" s="14">
        <v>253390.39078157311</v>
      </c>
      <c r="K13" s="14">
        <v>6056.7191141434969</v>
      </c>
      <c r="L13" s="15">
        <v>4047.7337411562612</v>
      </c>
    </row>
    <row r="14" spans="1:12" ht="15" customHeight="1" x14ac:dyDescent="0.25">
      <c r="A14" s="18" t="s">
        <v>59</v>
      </c>
      <c r="B14" s="15">
        <v>1049.3888473802397</v>
      </c>
      <c r="C14" s="15">
        <v>60.399023243430221</v>
      </c>
      <c r="D14" s="15">
        <v>35832.63076923076</v>
      </c>
      <c r="E14" s="15">
        <v>368.18927247746922</v>
      </c>
      <c r="F14" s="15">
        <v>85246.140665318366</v>
      </c>
      <c r="G14" s="15">
        <v>5130.7404416263071</v>
      </c>
      <c r="H14" s="15">
        <v>42307.923076923071</v>
      </c>
      <c r="I14" s="15">
        <v>2209.1062826028297</v>
      </c>
      <c r="J14" s="14">
        <v>399116.25782538461</v>
      </c>
      <c r="K14" s="14">
        <v>9640.5946754480192</v>
      </c>
      <c r="L14" s="15">
        <v>6355.8886660053713</v>
      </c>
    </row>
    <row r="15" spans="1:12" ht="15" customHeight="1" x14ac:dyDescent="0.25">
      <c r="A15" s="21" t="s">
        <v>17</v>
      </c>
      <c r="B15" s="15">
        <v>1179.6787042734552</v>
      </c>
      <c r="C15" s="15">
        <v>67.89803575392348</v>
      </c>
      <c r="D15" s="15">
        <v>47829.753846153835</v>
      </c>
      <c r="E15" s="15">
        <v>491.4627224779083</v>
      </c>
      <c r="F15" s="15">
        <v>110744.07169258666</v>
      </c>
      <c r="G15" s="15">
        <v>6665.3936808037133</v>
      </c>
      <c r="H15" s="15">
        <v>50298.446153846147</v>
      </c>
      <c r="I15" s="15">
        <v>2626.3310822797002</v>
      </c>
      <c r="J15" s="14">
        <v>391667.16789448098</v>
      </c>
      <c r="K15" s="14">
        <v>9339.3126495693105</v>
      </c>
      <c r="L15" s="15">
        <v>6261.0350494839113</v>
      </c>
    </row>
    <row r="16" spans="1:12" ht="15" customHeight="1" x14ac:dyDescent="0.25">
      <c r="A16" s="19" t="s">
        <v>18</v>
      </c>
      <c r="B16" s="15">
        <v>1187.7586953986158</v>
      </c>
      <c r="C16" s="15">
        <v>68.363090793333924</v>
      </c>
      <c r="D16" s="15">
        <v>45894.999999999985</v>
      </c>
      <c r="E16" s="15">
        <v>471.58264122944843</v>
      </c>
      <c r="F16" s="15">
        <v>136359.32910244787</v>
      </c>
      <c r="G16" s="15">
        <v>8207.1084855997033</v>
      </c>
      <c r="H16" s="15">
        <v>64414.830769230764</v>
      </c>
      <c r="I16" s="15">
        <v>3363.4174640617871</v>
      </c>
      <c r="J16" s="14">
        <v>393704.99126534379</v>
      </c>
      <c r="K16" s="14">
        <v>9390.8933360900701</v>
      </c>
      <c r="L16" s="15">
        <v>6293.0253886783576</v>
      </c>
    </row>
    <row r="17" spans="1:12" ht="15" customHeight="1" x14ac:dyDescent="0.25">
      <c r="A17" s="18" t="s">
        <v>58</v>
      </c>
      <c r="B17" s="15">
        <v>1661.4481751111593</v>
      </c>
      <c r="C17" s="15">
        <v>95.626942478770673</v>
      </c>
      <c r="D17" s="15">
        <v>92647.599999999977</v>
      </c>
      <c r="E17" s="15">
        <v>951.97733765267333</v>
      </c>
      <c r="F17" s="15">
        <v>251138.62612455542</v>
      </c>
      <c r="G17" s="15">
        <v>15115.371739473379</v>
      </c>
      <c r="H17" s="15">
        <v>80422.676923076913</v>
      </c>
      <c r="I17" s="15">
        <v>4199.2664241987568</v>
      </c>
      <c r="J17" s="14">
        <v>954029.03255499573</v>
      </c>
      <c r="K17" s="14">
        <v>22759.92738685925</v>
      </c>
      <c r="L17" s="15">
        <v>15248.556233173755</v>
      </c>
    </row>
    <row r="18" spans="1:12" ht="15" customHeight="1" x14ac:dyDescent="0.25">
      <c r="A18" s="18" t="s">
        <v>19</v>
      </c>
      <c r="B18" s="15">
        <v>1898.797914412753</v>
      </c>
      <c r="C18" s="15">
        <v>109.28793426145219</v>
      </c>
      <c r="D18" s="15">
        <v>75347.169230769214</v>
      </c>
      <c r="E18" s="15">
        <v>774.21107037821946</v>
      </c>
      <c r="F18" s="15">
        <v>207710.81714206011</v>
      </c>
      <c r="G18" s="15">
        <v>12501.566421148134</v>
      </c>
      <c r="H18" s="15">
        <v>68933.723076923066</v>
      </c>
      <c r="I18" s="15">
        <v>3599.3712207417916</v>
      </c>
      <c r="J18" s="14">
        <v>725502.37980750867</v>
      </c>
      <c r="K18" s="14">
        <v>17279.750426279668</v>
      </c>
      <c r="L18" s="15">
        <v>11601.48415331829</v>
      </c>
    </row>
    <row r="19" spans="1:12" ht="15" customHeight="1" x14ac:dyDescent="0.25">
      <c r="A19" s="18" t="s">
        <v>57</v>
      </c>
      <c r="B19" s="15">
        <v>1483.3846153846152</v>
      </c>
      <c r="C19" s="15">
        <v>110.35945410832889</v>
      </c>
      <c r="D19" s="15">
        <v>33783.461538461532</v>
      </c>
      <c r="E19" s="15">
        <v>347.13354444233966</v>
      </c>
      <c r="F19" s="15">
        <v>81734.371504289011</v>
      </c>
      <c r="G19" s="15">
        <v>4919.3763151623407</v>
      </c>
      <c r="H19" s="15">
        <v>48389.461538461532</v>
      </c>
      <c r="I19" s="15">
        <v>2526.6535372588583</v>
      </c>
      <c r="J19" s="14">
        <v>493336.68851355324</v>
      </c>
      <c r="K19" s="14">
        <v>11830.488564904961</v>
      </c>
      <c r="L19" s="15">
        <v>7873.1848595902065</v>
      </c>
    </row>
    <row r="20" spans="1:12" ht="15" customHeight="1" x14ac:dyDescent="0.25">
      <c r="A20" s="19" t="s">
        <v>20</v>
      </c>
      <c r="B20" s="15">
        <v>482.77946972834889</v>
      </c>
      <c r="C20" s="15">
        <v>27.787038604773478</v>
      </c>
      <c r="D20" s="15">
        <v>15994.446153846151</v>
      </c>
      <c r="E20" s="15">
        <v>164.34694764643126</v>
      </c>
      <c r="F20" s="15">
        <v>25110.854243671107</v>
      </c>
      <c r="G20" s="15">
        <v>1511.3561081622456</v>
      </c>
      <c r="H20" s="15">
        <v>19817.56923076923</v>
      </c>
      <c r="I20" s="15">
        <v>1034.7734776299671</v>
      </c>
      <c r="J20" s="14">
        <v>182060.84052747552</v>
      </c>
      <c r="K20" s="14">
        <v>4346.5135348780623</v>
      </c>
      <c r="L20" s="15">
        <v>2909.3198310753564</v>
      </c>
    </row>
    <row r="21" spans="1:12" ht="15" customHeight="1" x14ac:dyDescent="0.25">
      <c r="A21" s="19" t="s">
        <v>21</v>
      </c>
      <c r="B21" s="15">
        <v>265.62970823965645</v>
      </c>
      <c r="C21" s="15">
        <v>15.288684420618043</v>
      </c>
      <c r="D21" s="15">
        <v>18609.507692307685</v>
      </c>
      <c r="E21" s="15">
        <v>191.21736113995419</v>
      </c>
      <c r="F21" s="15">
        <v>25940.161238580098</v>
      </c>
      <c r="G21" s="15">
        <v>1561.269909585918</v>
      </c>
      <c r="H21" s="15">
        <v>17997.230769230766</v>
      </c>
      <c r="I21" s="15">
        <v>939.72458750750161</v>
      </c>
      <c r="J21" s="14">
        <v>141017.75941530141</v>
      </c>
      <c r="K21" s="14">
        <v>3360.1582579772362</v>
      </c>
      <c r="L21" s="15">
        <v>2254.726424490751</v>
      </c>
    </row>
    <row r="22" spans="1:12" ht="15" customHeight="1" x14ac:dyDescent="0.25">
      <c r="A22" s="18" t="s">
        <v>22</v>
      </c>
      <c r="B22" s="15">
        <v>268.65970491159169</v>
      </c>
      <c r="C22" s="15">
        <v>15.463080060396958</v>
      </c>
      <c r="D22" s="15">
        <v>6841.2153846153833</v>
      </c>
      <c r="E22" s="15">
        <v>70.295204712854556</v>
      </c>
      <c r="F22" s="15">
        <v>12711.36090382872</v>
      </c>
      <c r="G22" s="15">
        <v>765.06329727505408</v>
      </c>
      <c r="H22" s="15">
        <v>9642.8461538461524</v>
      </c>
      <c r="I22" s="15">
        <v>503.50077411985558</v>
      </c>
      <c r="J22" s="14">
        <v>88298.991751174792</v>
      </c>
      <c r="K22" s="14">
        <v>2105.4079034893302</v>
      </c>
      <c r="L22" s="15">
        <v>1411.5288214161594</v>
      </c>
    </row>
    <row r="23" spans="1:12" ht="15" customHeight="1" x14ac:dyDescent="0.25">
      <c r="A23" s="18" t="s">
        <v>23</v>
      </c>
      <c r="B23" s="15">
        <v>107.05988240837863</v>
      </c>
      <c r="C23" s="15">
        <v>6.1619792721882618</v>
      </c>
      <c r="D23" s="15">
        <v>5677.4769230769225</v>
      </c>
      <c r="E23" s="15">
        <v>58.337500008799609</v>
      </c>
      <c r="F23" s="15">
        <v>7535.9638050073227</v>
      </c>
      <c r="G23" s="15">
        <v>453.56979165525644</v>
      </c>
      <c r="H23" s="15">
        <v>7632.8461538461534</v>
      </c>
      <c r="I23" s="15">
        <v>398.54871537760886</v>
      </c>
      <c r="J23" s="14">
        <v>46871.848287811321</v>
      </c>
      <c r="K23" s="14">
        <v>1119.6145814535359</v>
      </c>
      <c r="L23" s="15">
        <v>748.8918207760654</v>
      </c>
    </row>
    <row r="24" spans="1:12" ht="15" customHeight="1" x14ac:dyDescent="0.25">
      <c r="A24" s="18" t="s">
        <v>56</v>
      </c>
      <c r="B24" s="15">
        <v>1679.6281551427705</v>
      </c>
      <c r="C24" s="15">
        <v>96.673316317444147</v>
      </c>
      <c r="D24" s="15">
        <v>40668.999999999993</v>
      </c>
      <c r="E24" s="15">
        <v>417.88417989237257</v>
      </c>
      <c r="F24" s="15">
        <v>84627.419485319755</v>
      </c>
      <c r="G24" s="15">
        <v>5093.5012451590692</v>
      </c>
      <c r="H24" s="15">
        <v>38784.753846153835</v>
      </c>
      <c r="I24" s="15">
        <v>2025.1441611766757</v>
      </c>
      <c r="J24" s="14">
        <v>590722.28977259318</v>
      </c>
      <c r="K24" s="14">
        <v>14155.995542528319</v>
      </c>
      <c r="L24" s="15">
        <v>9429.296922633519</v>
      </c>
    </row>
    <row r="25" spans="1:12" ht="15" customHeight="1" x14ac:dyDescent="0.25">
      <c r="A25" s="18" t="s">
        <v>24</v>
      </c>
      <c r="B25" s="15">
        <v>3056.2566430920169</v>
      </c>
      <c r="C25" s="15">
        <v>175.90706865699698</v>
      </c>
      <c r="D25" s="15">
        <v>110816.9692307692</v>
      </c>
      <c r="E25" s="15">
        <v>1138.6721656583218</v>
      </c>
      <c r="F25" s="15">
        <v>96808.304693493279</v>
      </c>
      <c r="G25" s="15">
        <v>5826.6366089962485</v>
      </c>
      <c r="H25" s="15">
        <v>70393.292307692303</v>
      </c>
      <c r="I25" s="15">
        <v>3675.5825618592389</v>
      </c>
      <c r="J25" s="14">
        <v>564709.23082188843</v>
      </c>
      <c r="K25" s="14">
        <v>13706.104347350416</v>
      </c>
      <c r="L25" s="15">
        <v>8980.0831229940177</v>
      </c>
    </row>
    <row r="26" spans="1:12" ht="15" customHeight="1" x14ac:dyDescent="0.25">
      <c r="A26" s="18" t="s">
        <v>25</v>
      </c>
      <c r="B26" s="15">
        <v>2979.4967274029905</v>
      </c>
      <c r="C26" s="15">
        <v>171.48904578259786</v>
      </c>
      <c r="D26" s="15">
        <v>105231.23076923075</v>
      </c>
      <c r="E26" s="15">
        <v>1081.2773013613564</v>
      </c>
      <c r="F26" s="15">
        <v>91088.392844689311</v>
      </c>
      <c r="G26" s="15">
        <v>5482.3701962748128</v>
      </c>
      <c r="H26" s="15">
        <v>76229.507692307685</v>
      </c>
      <c r="I26" s="15">
        <v>3980.3202831918547</v>
      </c>
      <c r="J26" s="14">
        <v>534562.24701149145</v>
      </c>
      <c r="K26" s="14">
        <v>12921.577033034857</v>
      </c>
      <c r="L26" s="15">
        <v>8511.0305210164388</v>
      </c>
    </row>
    <row r="27" spans="1:12" ht="15" customHeight="1" x14ac:dyDescent="0.25">
      <c r="A27" s="19" t="s">
        <v>55</v>
      </c>
      <c r="B27" s="15">
        <v>527.21942091673259</v>
      </c>
      <c r="C27" s="15">
        <v>30.344841321530872</v>
      </c>
      <c r="D27" s="15">
        <v>32264.107692307683</v>
      </c>
      <c r="E27" s="15">
        <v>331.52180242836528</v>
      </c>
      <c r="F27" s="15">
        <v>49245.994211590762</v>
      </c>
      <c r="G27" s="15">
        <v>2963.9865466930128</v>
      </c>
      <c r="H27" s="15">
        <v>29512.984615384608</v>
      </c>
      <c r="I27" s="15">
        <v>1541.0191517476969</v>
      </c>
      <c r="J27" s="14">
        <v>218403.45704300402</v>
      </c>
      <c r="K27" s="14">
        <v>5223.6561072652112</v>
      </c>
      <c r="L27" s="15">
        <v>3488.2112591564551</v>
      </c>
    </row>
    <row r="28" spans="1:12" ht="15" customHeight="1" x14ac:dyDescent="0.25">
      <c r="A28" s="18" t="s">
        <v>26</v>
      </c>
      <c r="B28" s="15">
        <v>379.75958288255066</v>
      </c>
      <c r="C28" s="15">
        <v>21.857586852290439</v>
      </c>
      <c r="D28" s="15">
        <v>18357.999999999996</v>
      </c>
      <c r="E28" s="15">
        <v>188.63305649177937</v>
      </c>
      <c r="F28" s="15">
        <v>23697.92370458191</v>
      </c>
      <c r="G28" s="15">
        <v>1426.3155444307413</v>
      </c>
      <c r="H28" s="15">
        <v>17853.953846153843</v>
      </c>
      <c r="I28" s="15">
        <v>932.24338947407989</v>
      </c>
      <c r="J28" s="14">
        <v>111915.96021236994</v>
      </c>
      <c r="K28" s="14">
        <v>2678.7720349608185</v>
      </c>
      <c r="L28" s="15">
        <v>1787.0587577968386</v>
      </c>
    </row>
    <row r="29" spans="1:12" ht="15" customHeight="1" x14ac:dyDescent="0.25">
      <c r="A29" s="18" t="s">
        <v>27</v>
      </c>
      <c r="B29" s="15">
        <v>93.929896829992572</v>
      </c>
      <c r="C29" s="15">
        <v>5.406264833146305</v>
      </c>
      <c r="D29" s="15">
        <v>11015.830769230766</v>
      </c>
      <c r="E29" s="15">
        <v>113.19042530756013</v>
      </c>
      <c r="F29" s="15">
        <v>15619.450728781645</v>
      </c>
      <c r="G29" s="15">
        <v>940.09355619724215</v>
      </c>
      <c r="H29" s="15">
        <v>12512.50769230769</v>
      </c>
      <c r="I29" s="15">
        <v>653.34002106263245</v>
      </c>
      <c r="J29" s="14">
        <v>70297.740952394888</v>
      </c>
      <c r="K29" s="14">
        <v>1676.0660651267908</v>
      </c>
      <c r="L29" s="15">
        <v>1123.7879125884181</v>
      </c>
    </row>
    <row r="30" spans="1:12" ht="15" customHeight="1" x14ac:dyDescent="0.25">
      <c r="A30" s="19" t="s">
        <v>28</v>
      </c>
      <c r="B30" s="15">
        <v>531.2594164793129</v>
      </c>
      <c r="C30" s="15">
        <v>20.384912560824056</v>
      </c>
      <c r="D30" s="15">
        <v>33394.861538461533</v>
      </c>
      <c r="E30" s="15">
        <v>228.76038795510644</v>
      </c>
      <c r="F30" s="15">
        <v>59214.725573610434</v>
      </c>
      <c r="G30" s="15">
        <v>2375.9854688172891</v>
      </c>
      <c r="H30" s="15">
        <v>33167.061538461538</v>
      </c>
      <c r="I30" s="15">
        <v>1154.5444082561623</v>
      </c>
      <c r="J30" s="14">
        <v>236864.24513263485</v>
      </c>
      <c r="K30" s="14">
        <v>3764.5205388384711</v>
      </c>
      <c r="L30" s="15">
        <v>2524.4417867513221</v>
      </c>
    </row>
    <row r="31" spans="1:12" ht="15" customHeight="1" x14ac:dyDescent="0.25">
      <c r="A31" s="18" t="s">
        <v>29</v>
      </c>
      <c r="B31" s="15">
        <v>1271.5886033221577</v>
      </c>
      <c r="C31" s="15">
        <v>48.792024551478107</v>
      </c>
      <c r="D31" s="15">
        <v>41503.923076923063</v>
      </c>
      <c r="E31" s="15">
        <v>284.30881600754242</v>
      </c>
      <c r="F31" s="15">
        <v>115113.22595717972</v>
      </c>
      <c r="G31" s="15">
        <v>4618.907704012584</v>
      </c>
      <c r="H31" s="15">
        <v>37242.723076923074</v>
      </c>
      <c r="I31" s="15">
        <v>1296.4180630482454</v>
      </c>
      <c r="J31" s="14">
        <v>510032.89162147581</v>
      </c>
      <c r="K31" s="14">
        <v>8148.6519085211921</v>
      </c>
      <c r="L31" s="15">
        <v>5427.4580092618053</v>
      </c>
    </row>
    <row r="32" spans="1:12" ht="15" customHeight="1" x14ac:dyDescent="0.25">
      <c r="A32" s="19" t="s">
        <v>30</v>
      </c>
      <c r="B32" s="15">
        <v>639.3292977783367</v>
      </c>
      <c r="C32" s="15">
        <v>24.531653328900436</v>
      </c>
      <c r="D32" s="15">
        <v>27483.399999999991</v>
      </c>
      <c r="E32" s="15">
        <v>188.26588752537199</v>
      </c>
      <c r="F32" s="15">
        <v>56849.144919450446</v>
      </c>
      <c r="G32" s="15">
        <v>2281.0667605879926</v>
      </c>
      <c r="H32" s="15">
        <v>25943.430769230763</v>
      </c>
      <c r="I32" s="15">
        <v>903.09003982345587</v>
      </c>
      <c r="J32" s="14">
        <v>291891.20841982972</v>
      </c>
      <c r="K32" s="14">
        <v>4648.4704558100375</v>
      </c>
      <c r="L32" s="15">
        <v>3109.0648249378432</v>
      </c>
    </row>
    <row r="33" spans="1:12" ht="15" customHeight="1" x14ac:dyDescent="0.25">
      <c r="A33" s="18" t="s">
        <v>54</v>
      </c>
      <c r="B33" s="15">
        <v>2133.1176570424122</v>
      </c>
      <c r="C33" s="15">
        <v>81.849686936236509</v>
      </c>
      <c r="D33" s="15">
        <v>85528.076923076893</v>
      </c>
      <c r="E33" s="15">
        <v>585.88163437789217</v>
      </c>
      <c r="F33" s="15">
        <v>262271.59620615107</v>
      </c>
      <c r="G33" s="15">
        <v>10523.623903224581</v>
      </c>
      <c r="H33" s="15">
        <v>57240.676923076913</v>
      </c>
      <c r="I33" s="15">
        <v>1992.5462311365632</v>
      </c>
      <c r="J33" s="14">
        <v>891107.77273079217</v>
      </c>
      <c r="K33" s="14">
        <v>14246.169514293242</v>
      </c>
      <c r="L33" s="15">
        <v>9480.8231515077186</v>
      </c>
    </row>
    <row r="34" spans="1:12" ht="15" customHeight="1" x14ac:dyDescent="0.25">
      <c r="A34" s="18" t="s">
        <v>53</v>
      </c>
      <c r="B34" s="15">
        <v>1950.3078578356524</v>
      </c>
      <c r="C34" s="15">
        <v>74.835106758462445</v>
      </c>
      <c r="D34" s="15">
        <v>78162.199999999983</v>
      </c>
      <c r="E34" s="15">
        <v>535.42414526352752</v>
      </c>
      <c r="F34" s="15">
        <v>267955.40762954182</v>
      </c>
      <c r="G34" s="15">
        <v>10751.686318758135</v>
      </c>
      <c r="H34" s="15">
        <v>91065.369230769211</v>
      </c>
      <c r="I34" s="15">
        <v>3169.982746564538</v>
      </c>
      <c r="J34" s="14">
        <v>792655.96852665942</v>
      </c>
      <c r="K34" s="14">
        <v>12702.570892392825</v>
      </c>
      <c r="L34" s="15">
        <v>8427.4119641535417</v>
      </c>
    </row>
    <row r="35" spans="1:12" x14ac:dyDescent="0.25">
      <c r="A35" s="20" t="s">
        <v>31</v>
      </c>
      <c r="B35" s="15">
        <v>1110.9987797095896</v>
      </c>
      <c r="C35" s="15">
        <v>42.630045279289845</v>
      </c>
      <c r="D35" s="15">
        <v>51339.523076923062</v>
      </c>
      <c r="E35" s="15">
        <v>351.68432134329231</v>
      </c>
      <c r="F35" s="15">
        <v>209698.34611897622</v>
      </c>
      <c r="G35" s="15">
        <v>8414.1270332214644</v>
      </c>
      <c r="H35" s="15">
        <v>37923.030769230762</v>
      </c>
      <c r="I35" s="15">
        <v>1320.0995532259831</v>
      </c>
      <c r="J35" s="14">
        <v>546566.58393361594</v>
      </c>
      <c r="K35" s="14">
        <v>8718.2749854309659</v>
      </c>
      <c r="L35" s="15">
        <v>5818.9826207917586</v>
      </c>
    </row>
    <row r="36" spans="1:12" ht="15" customHeight="1" x14ac:dyDescent="0.25">
      <c r="A36" s="18" t="s">
        <v>52</v>
      </c>
      <c r="B36" s="15">
        <v>1272.5986022128027</v>
      </c>
      <c r="C36" s="15">
        <v>48.83077913809565</v>
      </c>
      <c r="D36" s="15">
        <v>48509.030769230762</v>
      </c>
      <c r="E36" s="15">
        <v>332.29497554031929</v>
      </c>
      <c r="F36" s="15">
        <v>166063.96247994978</v>
      </c>
      <c r="G36" s="15">
        <v>6663.3013650648727</v>
      </c>
      <c r="H36" s="15">
        <v>59695.969230769224</v>
      </c>
      <c r="I36" s="15">
        <v>2078.014882050762</v>
      </c>
      <c r="J36" s="14">
        <v>442872.61524944362</v>
      </c>
      <c r="K36" s="14">
        <v>7060.8540995442072</v>
      </c>
      <c r="L36" s="15">
        <v>4715.6781518082998</v>
      </c>
    </row>
    <row r="37" spans="1:12" ht="15" customHeight="1" x14ac:dyDescent="0.25">
      <c r="A37" s="19" t="s">
        <v>51</v>
      </c>
      <c r="B37" s="15">
        <v>650.43928557543245</v>
      </c>
      <c r="C37" s="15">
        <v>24.957953781693334</v>
      </c>
      <c r="D37" s="15">
        <v>23745.830769230764</v>
      </c>
      <c r="E37" s="15">
        <v>162.66291306012056</v>
      </c>
      <c r="F37" s="15">
        <v>42731.873003696215</v>
      </c>
      <c r="G37" s="15">
        <v>1714.6125111382075</v>
      </c>
      <c r="H37" s="15">
        <v>31519.892307692302</v>
      </c>
      <c r="I37" s="15">
        <v>1097.2064971894577</v>
      </c>
      <c r="J37" s="14">
        <v>247259.72384728954</v>
      </c>
      <c r="K37" s="14">
        <v>3943.1691872330175</v>
      </c>
      <c r="L37" s="15">
        <v>2632.6030276553097</v>
      </c>
    </row>
    <row r="38" spans="1:12" ht="15" customHeight="1" x14ac:dyDescent="0.25">
      <c r="A38" s="19" t="s">
        <v>32</v>
      </c>
      <c r="B38" s="15">
        <v>521.159427572862</v>
      </c>
      <c r="C38" s="15">
        <v>19.997366694648694</v>
      </c>
      <c r="D38" s="15">
        <v>15903.738461538458</v>
      </c>
      <c r="E38" s="15">
        <v>108.94326889805966</v>
      </c>
      <c r="F38" s="15">
        <v>25550.076086198482</v>
      </c>
      <c r="G38" s="15">
        <v>1025.1944751904439</v>
      </c>
      <c r="H38" s="15">
        <v>16765.461538461535</v>
      </c>
      <c r="I38" s="15">
        <v>583.60520869833965</v>
      </c>
      <c r="J38" s="14">
        <v>166458.54635515439</v>
      </c>
      <c r="K38" s="14">
        <v>2655.3277009556336</v>
      </c>
      <c r="L38" s="15">
        <v>1772.1597900685629</v>
      </c>
    </row>
    <row r="39" spans="1:12" ht="15" customHeight="1" x14ac:dyDescent="0.25">
      <c r="A39" s="18" t="s">
        <v>33</v>
      </c>
      <c r="B39" s="15">
        <v>240.37973597352942</v>
      </c>
      <c r="C39" s="15">
        <v>9.2235916149736212</v>
      </c>
      <c r="D39" s="15">
        <v>11281.769230769229</v>
      </c>
      <c r="E39" s="15">
        <v>77.282006487086846</v>
      </c>
      <c r="F39" s="15">
        <v>22485.551084454983</v>
      </c>
      <c r="G39" s="15">
        <v>902.23068869246538</v>
      </c>
      <c r="H39" s="15">
        <v>17647.8</v>
      </c>
      <c r="I39" s="15">
        <v>614.31938383795102</v>
      </c>
      <c r="J39" s="14">
        <v>132456.60834811817</v>
      </c>
      <c r="K39" s="14">
        <v>2101.8954737216368</v>
      </c>
      <c r="L39" s="15">
        <v>1412.3287357810484</v>
      </c>
    </row>
    <row r="40" spans="1:12" ht="15" customHeight="1" x14ac:dyDescent="0.25">
      <c r="A40" s="18" t="s">
        <v>34</v>
      </c>
      <c r="B40" s="15">
        <v>373.69958953868013</v>
      </c>
      <c r="C40" s="15">
        <v>14.339197048488405</v>
      </c>
      <c r="D40" s="15">
        <v>17947.753846153842</v>
      </c>
      <c r="E40" s="15">
        <v>122.94511621317096</v>
      </c>
      <c r="F40" s="15">
        <v>24252.46635051259</v>
      </c>
      <c r="G40" s="15">
        <v>973.12800276623443</v>
      </c>
      <c r="H40" s="15">
        <v>16998.415384615382</v>
      </c>
      <c r="I40" s="15">
        <v>591.71432503192864</v>
      </c>
      <c r="J40" s="14">
        <v>106633.66981504195</v>
      </c>
      <c r="K40" s="14">
        <v>1697.3536836734393</v>
      </c>
      <c r="L40" s="15">
        <v>1135.9649209259549</v>
      </c>
    </row>
    <row r="41" spans="1:12" ht="15" customHeight="1" x14ac:dyDescent="0.25">
      <c r="A41" s="18" t="s">
        <v>35</v>
      </c>
      <c r="B41" s="15">
        <v>235.32974152030397</v>
      </c>
      <c r="C41" s="15">
        <v>9.0298186818859421</v>
      </c>
      <c r="D41" s="15">
        <v>9742.8307692307681</v>
      </c>
      <c r="E41" s="15">
        <v>66.740020586198725</v>
      </c>
      <c r="F41" s="15">
        <v>17546.812330009066</v>
      </c>
      <c r="G41" s="15">
        <v>704.06424611964326</v>
      </c>
      <c r="H41" s="15">
        <v>12196.061538461538</v>
      </c>
      <c r="I41" s="15">
        <v>424.54453300453463</v>
      </c>
      <c r="J41" s="14">
        <v>95813.047452926403</v>
      </c>
      <c r="K41" s="14">
        <v>1525.9562125104046</v>
      </c>
      <c r="L41" s="15">
        <v>1020.5284358523488</v>
      </c>
    </row>
    <row r="42" spans="1:12" ht="15" customHeight="1" x14ac:dyDescent="0.25">
      <c r="A42" s="18" t="s">
        <v>36</v>
      </c>
      <c r="B42" s="15">
        <v>317.13965166255559</v>
      </c>
      <c r="C42" s="15">
        <v>12.168940197906377</v>
      </c>
      <c r="D42" s="15">
        <v>10091.230769230766</v>
      </c>
      <c r="E42" s="15">
        <v>69.126618867846517</v>
      </c>
      <c r="F42" s="15">
        <v>12697.321849501361</v>
      </c>
      <c r="G42" s="15">
        <v>509.47888240752786</v>
      </c>
      <c r="H42" s="15">
        <v>10482.923076923074</v>
      </c>
      <c r="I42" s="15">
        <v>364.91023501150408</v>
      </c>
      <c r="J42" s="14">
        <v>85290.503333524961</v>
      </c>
      <c r="K42" s="14">
        <v>1359.0929067651537</v>
      </c>
      <c r="L42" s="15">
        <v>908.30861084537128</v>
      </c>
    </row>
    <row r="43" spans="1:12" ht="15" customHeight="1" x14ac:dyDescent="0.25">
      <c r="A43" s="19" t="s">
        <v>37</v>
      </c>
      <c r="B43" s="15">
        <v>1226.1386532431291</v>
      </c>
      <c r="C43" s="15">
        <v>47.048068153688988</v>
      </c>
      <c r="D43" s="15">
        <v>15707.892307692304</v>
      </c>
      <c r="E43" s="15">
        <v>107.60168998234046</v>
      </c>
      <c r="F43" s="15">
        <v>29733.714275751448</v>
      </c>
      <c r="G43" s="15">
        <v>1193.0625763912185</v>
      </c>
      <c r="H43" s="15">
        <v>24245.753846153842</v>
      </c>
      <c r="I43" s="15">
        <v>843.99395751628322</v>
      </c>
      <c r="J43" s="14">
        <v>191638.51483263259</v>
      </c>
      <c r="K43" s="14">
        <v>3067.1691572140635</v>
      </c>
      <c r="L43" s="15">
        <v>2038.2391276044375</v>
      </c>
    </row>
    <row r="44" spans="1:12" ht="15" customHeight="1" x14ac:dyDescent="0.25">
      <c r="A44" s="19" t="s">
        <v>38</v>
      </c>
      <c r="B44" s="15">
        <v>623.1693155280152</v>
      </c>
      <c r="C44" s="15">
        <v>23.911579943019852</v>
      </c>
      <c r="D44" s="15">
        <v>17096.338461538457</v>
      </c>
      <c r="E44" s="15">
        <v>117.11277840062334</v>
      </c>
      <c r="F44" s="15">
        <v>29675.55247925239</v>
      </c>
      <c r="G44" s="15">
        <v>1190.7288396055892</v>
      </c>
      <c r="H44" s="15">
        <v>19498.030769230765</v>
      </c>
      <c r="I44" s="15">
        <v>678.72586091225287</v>
      </c>
      <c r="J44" s="14">
        <v>177850.48534913867</v>
      </c>
      <c r="K44" s="14">
        <v>2835.5210777855505</v>
      </c>
      <c r="L44" s="15">
        <v>1893.7408881946897</v>
      </c>
    </row>
    <row r="45" spans="1:12" ht="15" customHeight="1" x14ac:dyDescent="0.25">
      <c r="A45" s="18" t="s">
        <v>39</v>
      </c>
      <c r="B45" s="15">
        <v>63.629930110640132</v>
      </c>
      <c r="C45" s="15">
        <v>2.4415389569047825</v>
      </c>
      <c r="D45" s="15">
        <v>2273.8769230769226</v>
      </c>
      <c r="E45" s="15">
        <v>15.576437305665928</v>
      </c>
      <c r="F45" s="15">
        <v>15955.385243043447</v>
      </c>
      <c r="G45" s="15">
        <v>640.20837924389321</v>
      </c>
      <c r="H45" s="15">
        <v>5333.1999999999989</v>
      </c>
      <c r="I45" s="15">
        <v>185.64853057517425</v>
      </c>
      <c r="J45" s="14">
        <v>39715.10432572342</v>
      </c>
      <c r="K45" s="14">
        <v>635.30693139087475</v>
      </c>
      <c r="L45" s="15">
        <v>422.46910458046568</v>
      </c>
    </row>
    <row r="46" spans="1:12" x14ac:dyDescent="0.25">
      <c r="A46" s="19" t="s">
        <v>40</v>
      </c>
      <c r="B46" s="15">
        <v>739.31918795219963</v>
      </c>
      <c r="C46" s="15">
        <v>21.276268053027394</v>
      </c>
      <c r="D46" s="15">
        <v>35864.584615384607</v>
      </c>
      <c r="E46" s="15">
        <v>184.25880313236863</v>
      </c>
      <c r="F46" s="15">
        <v>106736.92447172049</v>
      </c>
      <c r="G46" s="15">
        <v>3212.1070275306388</v>
      </c>
      <c r="H46" s="15">
        <v>51899.230769230759</v>
      </c>
      <c r="I46" s="15">
        <v>1354.9579891466985</v>
      </c>
      <c r="J46" s="14">
        <v>359627.578318646</v>
      </c>
      <c r="K46" s="14">
        <v>4316.1165251759394</v>
      </c>
      <c r="L46" s="15">
        <v>2868.8576411594081</v>
      </c>
    </row>
    <row r="47" spans="1:12" ht="15" customHeight="1" x14ac:dyDescent="0.25">
      <c r="A47" s="19" t="s">
        <v>41</v>
      </c>
      <c r="B47" s="15">
        <v>839.30907812606279</v>
      </c>
      <c r="C47" s="15">
        <v>24.153796109379456</v>
      </c>
      <c r="D47" s="15">
        <v>49255.307692307688</v>
      </c>
      <c r="E47" s="15">
        <v>253.05532297753166</v>
      </c>
      <c r="F47" s="15">
        <v>87122.359997210398</v>
      </c>
      <c r="G47" s="15">
        <v>2621.8325681309834</v>
      </c>
      <c r="H47" s="15">
        <v>41512.169230769228</v>
      </c>
      <c r="I47" s="15">
        <v>1083.7780158273088</v>
      </c>
      <c r="J47" s="14">
        <v>345664.71448125248</v>
      </c>
      <c r="K47" s="14">
        <v>4138.7380711557807</v>
      </c>
      <c r="L47" s="15">
        <v>2759.3917427010028</v>
      </c>
    </row>
    <row r="48" spans="1:12" ht="15" customHeight="1" x14ac:dyDescent="0.25">
      <c r="A48" s="19" t="s">
        <v>42</v>
      </c>
      <c r="B48" s="15">
        <v>775.67914801542258</v>
      </c>
      <c r="C48" s="15">
        <v>22.322641891700869</v>
      </c>
      <c r="D48" s="15">
        <v>46122.799999999988</v>
      </c>
      <c r="E48" s="15">
        <v>236.96167169514763</v>
      </c>
      <c r="F48" s="15">
        <v>62600.143245693558</v>
      </c>
      <c r="G48" s="15">
        <v>1883.8687833580202</v>
      </c>
      <c r="H48" s="15">
        <v>43330.446153846147</v>
      </c>
      <c r="I48" s="15">
        <v>1131.2486393199556</v>
      </c>
      <c r="J48" s="14">
        <v>366973.48731937935</v>
      </c>
      <c r="K48" s="14">
        <v>4384.6079744166254</v>
      </c>
      <c r="L48" s="15">
        <v>2931.3117878899229</v>
      </c>
    </row>
    <row r="49" spans="1:12" ht="15" customHeight="1" x14ac:dyDescent="0.25">
      <c r="A49" s="19" t="s">
        <v>50</v>
      </c>
      <c r="B49" s="15">
        <v>583.77935879285724</v>
      </c>
      <c r="C49" s="15">
        <v>16.800113298701959</v>
      </c>
      <c r="D49" s="15">
        <v>40071.153846153837</v>
      </c>
      <c r="E49" s="15">
        <v>205.87058032335548</v>
      </c>
      <c r="F49" s="15">
        <v>81356.319827045125</v>
      </c>
      <c r="G49" s="15">
        <v>2448.311190751228</v>
      </c>
      <c r="H49" s="15">
        <v>65662.061538461523</v>
      </c>
      <c r="I49" s="15">
        <v>1714.2707810252828</v>
      </c>
      <c r="J49" s="14">
        <v>280023.49069228256</v>
      </c>
      <c r="K49" s="14">
        <v>3351.2910212170436</v>
      </c>
      <c r="L49" s="15">
        <v>2235.6824556904207</v>
      </c>
    </row>
    <row r="50" spans="1:12" ht="15" customHeight="1" x14ac:dyDescent="0.25">
      <c r="A50" s="19" t="s">
        <v>43</v>
      </c>
      <c r="B50" s="15">
        <v>756.48916909316597</v>
      </c>
      <c r="C50" s="15">
        <v>21.770389032400978</v>
      </c>
      <c r="D50" s="15">
        <v>29345.999999999993</v>
      </c>
      <c r="E50" s="15">
        <v>150.76875683102071</v>
      </c>
      <c r="F50" s="15">
        <v>58459.625008717485</v>
      </c>
      <c r="G50" s="15">
        <v>1759.2653455839313</v>
      </c>
      <c r="H50" s="15">
        <v>20094.846153846149</v>
      </c>
      <c r="I50" s="15">
        <v>524.62573978976934</v>
      </c>
      <c r="J50" s="14">
        <v>239517.33256858707</v>
      </c>
      <c r="K50" s="14">
        <v>2871.1763346469693</v>
      </c>
      <c r="L50" s="15">
        <v>1911.3722918690144</v>
      </c>
    </row>
    <row r="51" spans="1:12" x14ac:dyDescent="0.25">
      <c r="A51" s="19" t="s">
        <v>44</v>
      </c>
      <c r="B51" s="15">
        <v>765.57915910897179</v>
      </c>
      <c r="C51" s="15">
        <v>22.03198249206935</v>
      </c>
      <c r="D51" s="15">
        <v>30134.538461538454</v>
      </c>
      <c r="E51" s="15">
        <v>154.81997210940958</v>
      </c>
      <c r="F51" s="15">
        <v>80296.371225329523</v>
      </c>
      <c r="G51" s="15">
        <v>2416.413434944202</v>
      </c>
      <c r="H51" s="15">
        <v>43785.015384615377</v>
      </c>
      <c r="I51" s="15">
        <v>1143.1162951931176</v>
      </c>
      <c r="J51" s="14">
        <v>355481.23353217397</v>
      </c>
      <c r="K51" s="14">
        <v>4256.6240459020637</v>
      </c>
      <c r="L51" s="15">
        <v>2837.6870173514262</v>
      </c>
    </row>
    <row r="52" spans="1:12" ht="15" customHeight="1" x14ac:dyDescent="0.25">
      <c r="A52" s="19" t="s">
        <v>45</v>
      </c>
      <c r="B52" s="15">
        <v>422.17953628964403</v>
      </c>
      <c r="C52" s="15">
        <v>12.149562904597609</v>
      </c>
      <c r="D52" s="15">
        <v>25405.369230769225</v>
      </c>
      <c r="E52" s="15">
        <v>130.52327185156895</v>
      </c>
      <c r="F52" s="15">
        <v>52212.245833042754</v>
      </c>
      <c r="G52" s="15">
        <v>1571.2587053968225</v>
      </c>
      <c r="H52" s="15">
        <v>22442.938461538459</v>
      </c>
      <c r="I52" s="15">
        <v>585.9285064089587</v>
      </c>
      <c r="J52" s="14">
        <v>183021.95178443196</v>
      </c>
      <c r="K52" s="14">
        <v>2188.6695799733334</v>
      </c>
      <c r="L52" s="15">
        <v>1461.5673099308187</v>
      </c>
    </row>
    <row r="53" spans="1:12" ht="15" customHeight="1" x14ac:dyDescent="0.25">
      <c r="A53" s="18" t="s">
        <v>46</v>
      </c>
      <c r="B53" s="15">
        <v>112.10987686160404</v>
      </c>
      <c r="C53" s="15">
        <v>3.2263193359098912</v>
      </c>
      <c r="D53" s="15">
        <v>10913.784615384611</v>
      </c>
      <c r="E53" s="15">
        <v>56.070937735400321</v>
      </c>
      <c r="F53" s="15">
        <v>15499.115977404283</v>
      </c>
      <c r="G53" s="15">
        <v>466.42546239678268</v>
      </c>
      <c r="H53" s="15">
        <v>13501.015384615383</v>
      </c>
      <c r="I53" s="15">
        <v>352.4774526681918</v>
      </c>
      <c r="J53" s="14">
        <v>84821.412252843453</v>
      </c>
      <c r="K53" s="14">
        <v>1015.122230414067</v>
      </c>
      <c r="L53" s="15">
        <v>677.20876971828693</v>
      </c>
    </row>
    <row r="54" spans="1:12" x14ac:dyDescent="0.25">
      <c r="A54" s="19" t="s">
        <v>49</v>
      </c>
      <c r="B54" s="15">
        <v>613.06932662156453</v>
      </c>
      <c r="C54" s="15">
        <v>17.643025557633372</v>
      </c>
      <c r="D54" s="15">
        <v>30191.230769230762</v>
      </c>
      <c r="E54" s="15">
        <v>155.11123595295388</v>
      </c>
      <c r="F54" s="15">
        <v>42510.256503242905</v>
      </c>
      <c r="G54" s="15">
        <v>1279.2901269361034</v>
      </c>
      <c r="H54" s="15">
        <v>29559.369230769225</v>
      </c>
      <c r="I54" s="15">
        <v>771.72056116702822</v>
      </c>
      <c r="J54" s="14">
        <v>207961.16475817945</v>
      </c>
      <c r="K54" s="14">
        <v>2492.4527487544115</v>
      </c>
      <c r="L54" s="15">
        <v>1659.6388704135268</v>
      </c>
    </row>
    <row r="55" spans="1:12" ht="15" customHeight="1" x14ac:dyDescent="0.25">
      <c r="A55" s="18" t="s">
        <v>47</v>
      </c>
      <c r="B55" s="15">
        <v>62.619931219995053</v>
      </c>
      <c r="C55" s="15">
        <v>1.802088277715435</v>
      </c>
      <c r="D55" s="15">
        <v>3943.723076923076</v>
      </c>
      <c r="E55" s="15">
        <v>20.261372098190559</v>
      </c>
      <c r="F55" s="15">
        <v>9858.4245065904179</v>
      </c>
      <c r="G55" s="15">
        <v>296.67628887310889</v>
      </c>
      <c r="H55" s="15">
        <v>9375.8769230769212</v>
      </c>
      <c r="I55" s="15">
        <v>244.78049392807091</v>
      </c>
      <c r="J55" s="14">
        <v>43272.935658631621</v>
      </c>
      <c r="K55" s="14">
        <v>517.59470793759147</v>
      </c>
      <c r="L55" s="15">
        <v>345.54427300539425</v>
      </c>
    </row>
    <row r="56" spans="1:12" x14ac:dyDescent="0.25">
      <c r="A56" s="16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spans="1:12" s="11" customFormat="1" x14ac:dyDescent="0.25">
      <c r="A57" s="13" t="s">
        <v>48</v>
      </c>
      <c r="B57" s="12">
        <f t="shared" ref="B57:I57" si="0">SUM(B4:B56)</f>
        <v>65575.662171099</v>
      </c>
      <c r="C57" s="12">
        <f t="shared" si="0"/>
        <v>4812.993625015928</v>
      </c>
      <c r="D57" s="12">
        <f t="shared" si="0"/>
        <v>2302318.9384615384</v>
      </c>
      <c r="E57" s="12">
        <f t="shared" si="0"/>
        <v>31281.507316053507</v>
      </c>
      <c r="F57" s="12">
        <f t="shared" si="0"/>
        <v>5408283.9515307909</v>
      </c>
      <c r="G57" s="12">
        <f t="shared" si="0"/>
        <v>388951.65360077558</v>
      </c>
      <c r="H57" s="12">
        <f t="shared" si="0"/>
        <v>2480609.0307692303</v>
      </c>
      <c r="I57" s="12">
        <f t="shared" si="0"/>
        <v>175260.4206521739</v>
      </c>
      <c r="J57" s="12">
        <f>SUM(J4:J56)</f>
        <v>22999999.999999993</v>
      </c>
      <c r="K57" s="12">
        <f t="shared" ref="K57:L57" si="1">SUM(K4:K56)</f>
        <v>749999.99999999965</v>
      </c>
      <c r="L57" s="12">
        <f t="shared" si="1"/>
        <v>499999.99999999988</v>
      </c>
    </row>
    <row r="58" spans="1:12" ht="15.75" thickBot="1" x14ac:dyDescent="0.3">
      <c r="D58" s="5"/>
      <c r="E58" s="6"/>
      <c r="F58" s="32"/>
    </row>
    <row r="59" spans="1:12" ht="15" customHeight="1" thickBot="1" x14ac:dyDescent="0.3">
      <c r="A59" s="42" t="s">
        <v>67</v>
      </c>
      <c r="D59" s="5"/>
      <c r="E59" s="47"/>
      <c r="I59" s="42">
        <v>70</v>
      </c>
      <c r="J59" s="29"/>
      <c r="K59" s="42">
        <v>70</v>
      </c>
    </row>
    <row r="60" spans="1:12" ht="30.75" thickBot="1" x14ac:dyDescent="0.3">
      <c r="A60" s="43" t="s">
        <v>65</v>
      </c>
      <c r="E60" s="47"/>
      <c r="I60" s="42">
        <v>20</v>
      </c>
      <c r="J60" s="29"/>
      <c r="K60" s="42">
        <v>10</v>
      </c>
    </row>
    <row r="61" spans="1:12" x14ac:dyDescent="0.25">
      <c r="E61" s="48"/>
    </row>
    <row r="62" spans="1:12" x14ac:dyDescent="0.25">
      <c r="E62" s="48"/>
    </row>
    <row r="67" spans="4:5" x14ac:dyDescent="0.25">
      <c r="D67" s="9"/>
      <c r="E67" s="9"/>
    </row>
    <row r="68" spans="4:5" x14ac:dyDescent="0.25">
      <c r="D68" s="5"/>
      <c r="E68" s="6"/>
    </row>
    <row r="69" spans="4:5" x14ac:dyDescent="0.25">
      <c r="D69" s="5"/>
      <c r="E69" s="8"/>
    </row>
    <row r="70" spans="4:5" ht="15" customHeight="1" x14ac:dyDescent="0.25">
      <c r="D70" s="5"/>
    </row>
    <row r="71" spans="4:5" x14ac:dyDescent="0.25">
      <c r="D71" s="7"/>
    </row>
    <row r="81" spans="2:12" ht="15" customHeight="1" x14ac:dyDescent="0.25"/>
    <row r="91" spans="2:12" x14ac:dyDescent="0.25">
      <c r="B91" s="3"/>
      <c r="C91" s="3"/>
      <c r="D91" s="3"/>
      <c r="E91" s="3"/>
    </row>
    <row r="92" spans="2:12" ht="15" customHeight="1" x14ac:dyDescent="0.25">
      <c r="C92" s="4"/>
      <c r="D92" s="4"/>
      <c r="E92" s="2"/>
      <c r="G92" s="3"/>
      <c r="H92" s="3"/>
      <c r="I92" s="3"/>
      <c r="J92" s="3"/>
      <c r="K92" s="3"/>
      <c r="L92" s="3"/>
    </row>
    <row r="93" spans="2:12" x14ac:dyDescent="0.25">
      <c r="H93" s="2"/>
      <c r="I93" s="2"/>
      <c r="J93" s="2"/>
      <c r="K93" s="2"/>
      <c r="L93" s="2"/>
    </row>
    <row r="98" spans="2:11" x14ac:dyDescent="0.25">
      <c r="J98" s="4"/>
      <c r="K98" s="4"/>
    </row>
    <row r="99" spans="2:11" x14ac:dyDescent="0.25">
      <c r="J99" s="4"/>
      <c r="K99" s="4"/>
    </row>
    <row r="100" spans="2:11" x14ac:dyDescent="0.25">
      <c r="J100" s="4"/>
      <c r="K100" s="4"/>
    </row>
    <row r="103" spans="2:11" ht="15" customHeight="1" x14ac:dyDescent="0.25"/>
    <row r="112" spans="2:11" x14ac:dyDescent="0.25">
      <c r="B112" s="3"/>
      <c r="C112" s="3"/>
      <c r="D112" s="3"/>
      <c r="E112" s="3"/>
    </row>
    <row r="113" spans="3:5" x14ac:dyDescent="0.25">
      <c r="C113" s="2"/>
      <c r="D113" s="2"/>
      <c r="E113" s="2"/>
    </row>
    <row r="114" spans="3:5" ht="15" customHeight="1" x14ac:dyDescent="0.25"/>
    <row r="125" spans="3:5" ht="15" customHeight="1" x14ac:dyDescent="0.25"/>
    <row r="136" ht="15" customHeight="1" x14ac:dyDescent="0.25"/>
    <row r="147" ht="15" customHeight="1" x14ac:dyDescent="0.25"/>
    <row r="158" ht="15" customHeight="1" x14ac:dyDescent="0.25"/>
    <row r="169" ht="15" customHeight="1" x14ac:dyDescent="0.25"/>
    <row r="180" ht="15" customHeight="1" x14ac:dyDescent="0.25"/>
    <row r="191" ht="15" customHeight="1" x14ac:dyDescent="0.25"/>
    <row r="202" ht="15" customHeight="1" x14ac:dyDescent="0.25"/>
    <row r="213" ht="15" customHeight="1" x14ac:dyDescent="0.25"/>
    <row r="224" ht="15" customHeight="1" x14ac:dyDescent="0.25"/>
    <row r="235" ht="15" customHeight="1" x14ac:dyDescent="0.25"/>
    <row r="246" ht="15" customHeight="1" x14ac:dyDescent="0.25"/>
    <row r="257" ht="15" customHeight="1" x14ac:dyDescent="0.25"/>
    <row r="268" ht="15" customHeight="1" x14ac:dyDescent="0.25"/>
    <row r="279" ht="15" customHeight="1" x14ac:dyDescent="0.25"/>
    <row r="290" ht="15" customHeight="1" x14ac:dyDescent="0.25"/>
    <row r="301" ht="15" customHeight="1" x14ac:dyDescent="0.25"/>
    <row r="312" ht="15" customHeight="1" x14ac:dyDescent="0.25"/>
    <row r="323" ht="15" customHeight="1" x14ac:dyDescent="0.25"/>
    <row r="334" ht="15" customHeight="1" x14ac:dyDescent="0.25"/>
    <row r="345" ht="15" customHeight="1" x14ac:dyDescent="0.25"/>
    <row r="356" ht="15" customHeight="1" x14ac:dyDescent="0.25"/>
    <row r="367" ht="15" customHeight="1" x14ac:dyDescent="0.25"/>
    <row r="378" ht="15" customHeight="1" x14ac:dyDescent="0.25"/>
    <row r="389" ht="15" customHeight="1" x14ac:dyDescent="0.25"/>
    <row r="400" ht="15" customHeight="1" x14ac:dyDescent="0.25"/>
    <row r="411" ht="15" customHeight="1" x14ac:dyDescent="0.25"/>
    <row r="422" ht="15" customHeight="1" x14ac:dyDescent="0.25"/>
    <row r="433" ht="15" customHeight="1" x14ac:dyDescent="0.25"/>
    <row r="444" ht="15" customHeight="1" x14ac:dyDescent="0.25"/>
    <row r="455" ht="15" customHeight="1" x14ac:dyDescent="0.25"/>
  </sheetData>
  <autoFilter ref="A3:L3" xr:uid="{00000000-0009-0000-0000-000002000000}"/>
  <mergeCells count="7">
    <mergeCell ref="A1:A2"/>
    <mergeCell ref="B1:L1"/>
    <mergeCell ref="B2:C2"/>
    <mergeCell ref="D2:E2"/>
    <mergeCell ref="F2:G2"/>
    <mergeCell ref="H2:I2"/>
    <mergeCell ref="J2:L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P457"/>
  <sheetViews>
    <sheetView zoomScale="80" zoomScaleNormal="80" workbookViewId="0">
      <pane xSplit="1" ySplit="3" topLeftCell="B37" activePane="bottomRight" state="frozen"/>
      <selection pane="topRight" activeCell="C1" sqref="C1"/>
      <selection pane="bottomLeft" activeCell="A4" sqref="A4"/>
      <selection pane="bottomRight" activeCell="N43" sqref="N43"/>
    </sheetView>
  </sheetViews>
  <sheetFormatPr baseColWidth="10" defaultColWidth="11.42578125" defaultRowHeight="15" x14ac:dyDescent="0.25"/>
  <cols>
    <col min="1" max="1" width="25.28515625" style="1" bestFit="1" customWidth="1"/>
    <col min="2" max="2" width="14.5703125" style="1" hidden="1" customWidth="1"/>
    <col min="3" max="3" width="10.140625" style="1" hidden="1" customWidth="1"/>
    <col min="4" max="4" width="15.5703125" style="1" hidden="1" customWidth="1"/>
    <col min="5" max="5" width="11.7109375" style="1" hidden="1" customWidth="1"/>
    <col min="6" max="6" width="15.5703125" style="1" hidden="1" customWidth="1"/>
    <col min="7" max="7" width="12.85546875" style="1" hidden="1" customWidth="1"/>
    <col min="8" max="8" width="15.5703125" style="1" customWidth="1"/>
    <col min="9" max="9" width="11.7109375" style="1" customWidth="1"/>
    <col min="10" max="11" width="16.5703125" style="1" customWidth="1"/>
    <col min="12" max="20" width="12.85546875" style="1" customWidth="1"/>
    <col min="21" max="25" width="23.140625" style="1" customWidth="1"/>
    <col min="26" max="27" width="16" style="1" customWidth="1"/>
    <col min="28" max="28" width="12" style="1" customWidth="1"/>
    <col min="29" max="37" width="23.140625" style="1" customWidth="1"/>
    <col min="38" max="39" width="16" style="1" customWidth="1"/>
    <col min="40" max="40" width="10.85546875" style="1" customWidth="1"/>
    <col min="41" max="49" width="23.140625" style="1" customWidth="1"/>
    <col min="50" max="51" width="16" style="1" customWidth="1"/>
    <col min="52" max="52" width="12" style="1" customWidth="1"/>
    <col min="53" max="53" width="20.85546875" style="1" customWidth="1"/>
    <col min="54" max="61" width="23.140625" style="1" customWidth="1"/>
    <col min="62" max="63" width="16" style="1" customWidth="1"/>
    <col min="64" max="64" width="10.85546875" style="1" customWidth="1"/>
    <col min="65" max="73" width="23.140625" style="1" customWidth="1"/>
    <col min="74" max="75" width="16" style="1" customWidth="1"/>
    <col min="76" max="76" width="10.85546875" style="1" customWidth="1"/>
    <col min="77" max="85" width="23.140625" style="1" customWidth="1"/>
    <col min="86" max="87" width="16" style="1" customWidth="1"/>
    <col min="88" max="88" width="12" style="1" customWidth="1"/>
    <col min="89" max="97" width="23.140625" style="1" customWidth="1"/>
    <col min="98" max="99" width="16" style="1" customWidth="1"/>
    <col min="100" max="100" width="12" style="1" customWidth="1"/>
    <col min="101" max="109" width="23.140625" style="1" customWidth="1"/>
    <col min="110" max="111" width="16" style="1" customWidth="1"/>
    <col min="112" max="112" width="12" style="1" customWidth="1"/>
    <col min="113" max="121" width="23.140625" style="1" customWidth="1"/>
    <col min="122" max="123" width="16" style="1" customWidth="1"/>
    <col min="124" max="124" width="12" style="1" customWidth="1"/>
    <col min="125" max="125" width="23.140625" style="1" customWidth="1"/>
    <col min="126" max="126" width="22" style="1" customWidth="1"/>
    <col min="127" max="133" width="23.140625" style="1" customWidth="1"/>
    <col min="134" max="135" width="16" style="1" customWidth="1"/>
    <col min="136" max="136" width="12" style="1" customWidth="1"/>
    <col min="137" max="145" width="23.140625" style="1" customWidth="1"/>
    <col min="146" max="147" width="16" style="1" customWidth="1"/>
    <col min="148" max="148" width="10.85546875" style="1" customWidth="1"/>
    <col min="149" max="157" width="23.140625" style="1" customWidth="1"/>
    <col min="158" max="159" width="16" style="1" customWidth="1"/>
    <col min="160" max="160" width="12" style="1" customWidth="1"/>
    <col min="161" max="169" width="23.140625" style="1" customWidth="1"/>
    <col min="170" max="171" width="16" style="1" customWidth="1"/>
    <col min="172" max="172" width="12" style="1" customWidth="1"/>
    <col min="173" max="173" width="23.140625" style="1" customWidth="1"/>
    <col min="174" max="174" width="22" style="1" customWidth="1"/>
    <col min="175" max="181" width="23.140625" style="1" customWidth="1"/>
    <col min="182" max="183" width="16" style="1" customWidth="1"/>
    <col min="184" max="184" width="12" style="1" customWidth="1"/>
    <col min="185" max="185" width="20.85546875" style="1" customWidth="1"/>
    <col min="186" max="193" width="23.140625" style="1" customWidth="1"/>
    <col min="194" max="195" width="16" style="1" customWidth="1"/>
    <col min="196" max="196" width="12" style="1" customWidth="1"/>
    <col min="197" max="205" width="23.140625" style="1" customWidth="1"/>
    <col min="206" max="207" width="16" style="1" customWidth="1"/>
    <col min="208" max="208" width="12" style="1" customWidth="1"/>
    <col min="209" max="217" width="23.140625" style="1" customWidth="1"/>
    <col min="218" max="219" width="16" style="1" customWidth="1"/>
    <col min="220" max="220" width="12" style="1" customWidth="1"/>
    <col min="221" max="229" width="23.140625" style="1" customWidth="1"/>
    <col min="230" max="231" width="16" style="1" customWidth="1"/>
    <col min="232" max="232" width="12" style="1" customWidth="1"/>
    <col min="233" max="241" width="23.140625" style="1" customWidth="1"/>
    <col min="242" max="243" width="16" style="1" customWidth="1"/>
    <col min="244" max="244" width="12" style="1" customWidth="1"/>
    <col min="245" max="253" width="23.140625" style="1" customWidth="1"/>
    <col min="254" max="255" width="16" style="1" customWidth="1"/>
    <col min="256" max="256" width="12" style="1" customWidth="1"/>
    <col min="257" max="265" width="23.140625" style="1" customWidth="1"/>
    <col min="266" max="267" width="16" style="1" customWidth="1"/>
    <col min="268" max="268" width="12" style="1" customWidth="1"/>
    <col min="269" max="269" width="23.140625" style="1" customWidth="1"/>
    <col min="270" max="270" width="22" style="1" customWidth="1"/>
    <col min="271" max="277" width="23.140625" style="1" customWidth="1"/>
    <col min="278" max="279" width="16" style="1" customWidth="1"/>
    <col min="280" max="280" width="12" style="1" customWidth="1"/>
    <col min="281" max="289" width="23.140625" style="1" customWidth="1"/>
    <col min="290" max="291" width="16" style="1" customWidth="1"/>
    <col min="292" max="292" width="12" style="1" customWidth="1"/>
    <col min="293" max="301" width="23.140625" style="1" customWidth="1"/>
    <col min="302" max="303" width="16" style="1" customWidth="1"/>
    <col min="304" max="304" width="12" style="1" customWidth="1"/>
    <col min="305" max="313" width="23.140625" style="1" customWidth="1"/>
    <col min="314" max="315" width="16" style="1" customWidth="1"/>
    <col min="316" max="316" width="12" style="1" customWidth="1"/>
    <col min="317" max="317" width="22" style="1" customWidth="1"/>
    <col min="318" max="319" width="23.140625" style="1" customWidth="1"/>
    <col min="320" max="325" width="22" style="1" customWidth="1"/>
    <col min="326" max="327" width="16" style="1" customWidth="1"/>
    <col min="328" max="328" width="12" style="1" customWidth="1"/>
    <col min="329" max="337" width="23.140625" style="1" customWidth="1"/>
    <col min="338" max="339" width="16" style="1" customWidth="1"/>
    <col min="340" max="340" width="12" style="1" customWidth="1"/>
    <col min="341" max="349" width="23.140625" style="1" customWidth="1"/>
    <col min="350" max="351" width="16" style="1" customWidth="1"/>
    <col min="352" max="352" width="12" style="1" customWidth="1"/>
    <col min="353" max="356" width="23.140625" style="1" customWidth="1"/>
    <col min="357" max="357" width="23.140625" style="1" bestFit="1" customWidth="1"/>
    <col min="358" max="360" width="23.140625" style="1" customWidth="1"/>
    <col min="361" max="361" width="23.140625" style="1" bestFit="1" customWidth="1"/>
    <col min="362" max="363" width="16" style="1" customWidth="1"/>
    <col min="364" max="364" width="13" style="1" customWidth="1"/>
    <col min="365" max="365" width="22" style="1" customWidth="1"/>
    <col min="366" max="367" width="23.140625" style="1" customWidth="1"/>
    <col min="368" max="368" width="23.140625" style="1" bestFit="1" customWidth="1"/>
    <col min="369" max="373" width="23.140625" style="1" customWidth="1"/>
    <col min="374" max="375" width="16" style="1" customWidth="1"/>
    <col min="376" max="376" width="13" style="1" customWidth="1"/>
    <col min="377" max="385" width="23.140625" style="1" customWidth="1"/>
    <col min="386" max="387" width="16" style="1" customWidth="1"/>
    <col min="388" max="388" width="12" style="1" customWidth="1"/>
    <col min="389" max="397" width="23.140625" style="1" customWidth="1"/>
    <col min="398" max="399" width="16" style="1" customWidth="1"/>
    <col min="400" max="400" width="12" style="1" customWidth="1"/>
    <col min="401" max="402" width="23.140625" style="1" customWidth="1"/>
    <col min="403" max="403" width="22" style="1" customWidth="1"/>
    <col min="404" max="409" width="23.140625" style="1" customWidth="1"/>
    <col min="410" max="411" width="16" style="1" customWidth="1"/>
    <col min="412" max="412" width="12" style="1" customWidth="1"/>
    <col min="413" max="415" width="23.140625" style="1" customWidth="1"/>
    <col min="416" max="417" width="23.140625" style="1" bestFit="1" customWidth="1"/>
    <col min="418" max="421" width="23.140625" style="1" customWidth="1"/>
    <col min="422" max="423" width="16" style="1" customWidth="1"/>
    <col min="424" max="424" width="12" style="1" customWidth="1"/>
    <col min="425" max="426" width="23.140625" style="1" bestFit="1" customWidth="1"/>
    <col min="427" max="431" width="23.140625" style="1" customWidth="1"/>
    <col min="432" max="432" width="23.140625" style="1" bestFit="1" customWidth="1"/>
    <col min="433" max="433" width="23.140625" style="1" customWidth="1"/>
    <col min="434" max="435" width="16" style="1" customWidth="1"/>
    <col min="436" max="436" width="12" style="1" customWidth="1"/>
    <col min="437" max="437" width="23.140625" style="1" bestFit="1" customWidth="1"/>
    <col min="438" max="442" width="23.140625" style="1" customWidth="1"/>
    <col min="443" max="443" width="23.140625" style="1" bestFit="1" customWidth="1"/>
    <col min="444" max="445" width="23.140625" style="1" customWidth="1"/>
    <col min="446" max="447" width="16" style="1" customWidth="1"/>
    <col min="448" max="448" width="12" style="1" customWidth="1"/>
    <col min="449" max="449" width="23.140625" style="1" customWidth="1"/>
    <col min="450" max="450" width="22" style="1" customWidth="1"/>
    <col min="451" max="451" width="23.140625" style="1" customWidth="1"/>
    <col min="452" max="452" width="23.140625" style="1" bestFit="1" customWidth="1"/>
    <col min="453" max="455" width="23.140625" style="1" customWidth="1"/>
    <col min="456" max="457" width="23.140625" style="1" bestFit="1" customWidth="1"/>
    <col min="458" max="459" width="16" style="1" customWidth="1"/>
    <col min="460" max="460" width="12" style="1" customWidth="1"/>
    <col min="461" max="469" width="23.140625" style="1" customWidth="1"/>
    <col min="470" max="471" width="16" style="1" customWidth="1"/>
    <col min="472" max="472" width="12" style="1" customWidth="1"/>
    <col min="473" max="477" width="23.140625" style="1" customWidth="1"/>
    <col min="478" max="478" width="23.140625" style="1" bestFit="1" customWidth="1"/>
    <col min="479" max="480" width="23.140625" style="1" customWidth="1"/>
    <col min="481" max="481" width="23.140625" style="1" bestFit="1" customWidth="1"/>
    <col min="482" max="483" width="16" style="1" customWidth="1"/>
    <col min="484" max="484" width="12" style="1" customWidth="1"/>
    <col min="485" max="485" width="23.140625" style="1" bestFit="1" customWidth="1"/>
    <col min="486" max="489" width="23.140625" style="1" customWidth="1"/>
    <col min="490" max="490" width="23.140625" style="1" bestFit="1" customWidth="1"/>
    <col min="491" max="493" width="23.140625" style="1" customWidth="1"/>
    <col min="494" max="495" width="16" style="1" customWidth="1"/>
    <col min="496" max="496" width="12" style="1" customWidth="1"/>
    <col min="497" max="502" width="23.140625" style="1" customWidth="1"/>
    <col min="503" max="503" width="23.140625" style="1" bestFit="1" customWidth="1"/>
    <col min="504" max="504" width="23.140625" style="1" customWidth="1"/>
    <col min="505" max="505" width="23.140625" style="1" bestFit="1" customWidth="1"/>
    <col min="506" max="507" width="16" style="1" customWidth="1"/>
    <col min="508" max="508" width="12" style="1" customWidth="1"/>
    <col min="509" max="509" width="22" style="1" customWidth="1"/>
    <col min="510" max="514" width="23.140625" style="1" customWidth="1"/>
    <col min="515" max="517" width="23.140625" style="1" bestFit="1" customWidth="1"/>
    <col min="518" max="519" width="16" style="1" customWidth="1"/>
    <col min="520" max="520" width="12" style="1" customWidth="1"/>
    <col min="521" max="521" width="23.140625" style="1" customWidth="1"/>
    <col min="522" max="529" width="23.140625" style="1" bestFit="1" customWidth="1"/>
    <col min="530" max="531" width="16" style="1" bestFit="1" customWidth="1"/>
    <col min="532" max="532" width="13" style="1" customWidth="1"/>
    <col min="533" max="541" width="23.140625" style="1" bestFit="1" customWidth="1"/>
    <col min="542" max="542" width="16" style="1" bestFit="1" customWidth="1"/>
    <col min="543" max="543" width="16" style="1" customWidth="1"/>
    <col min="544" max="544" width="12" style="1" customWidth="1"/>
    <col min="545" max="546" width="23.140625" style="1" customWidth="1"/>
    <col min="547" max="553" width="23.140625" style="1" bestFit="1" customWidth="1"/>
    <col min="554" max="555" width="16" style="1" customWidth="1"/>
    <col min="556" max="556" width="12" style="1" customWidth="1"/>
    <col min="557" max="564" width="23.140625" style="1" bestFit="1" customWidth="1"/>
    <col min="565" max="565" width="23.140625" style="1" customWidth="1"/>
    <col min="566" max="567" width="16" style="1" customWidth="1"/>
    <col min="568" max="568" width="13" style="1" customWidth="1"/>
    <col min="569" max="575" width="23.140625" style="1" bestFit="1" customWidth="1"/>
    <col min="576" max="576" width="23.140625" style="1" customWidth="1"/>
    <col min="577" max="577" width="23.140625" style="1" bestFit="1" customWidth="1"/>
    <col min="578" max="579" width="16" style="1" customWidth="1"/>
    <col min="580" max="580" width="12" style="1" customWidth="1"/>
    <col min="581" max="589" width="23.140625" style="1" bestFit="1" customWidth="1"/>
    <col min="590" max="591" width="16" style="1" customWidth="1"/>
    <col min="592" max="592" width="12" style="1" customWidth="1"/>
    <col min="593" max="595" width="22" style="1" customWidth="1"/>
    <col min="596" max="601" width="23.140625" style="1" bestFit="1" customWidth="1"/>
    <col min="602" max="603" width="16" style="1" customWidth="1"/>
    <col min="604" max="604" width="12" style="1" customWidth="1"/>
    <col min="605" max="613" width="23.140625" style="1" bestFit="1" customWidth="1"/>
    <col min="614" max="615" width="16" style="1" customWidth="1"/>
    <col min="616" max="616" width="13" style="1" customWidth="1"/>
    <col min="617" max="625" width="23.140625" style="1" bestFit="1" customWidth="1"/>
    <col min="626" max="627" width="16" style="1" customWidth="1"/>
    <col min="628" max="628" width="13" style="1" customWidth="1"/>
    <col min="629" max="637" width="23.140625" style="1" bestFit="1" customWidth="1"/>
    <col min="638" max="639" width="16" style="1" bestFit="1" customWidth="1"/>
    <col min="640" max="640" width="13" style="1" bestFit="1" customWidth="1"/>
    <col min="641" max="649" width="23.140625" style="1" bestFit="1" customWidth="1"/>
    <col min="650" max="651" width="16" style="1" bestFit="1" customWidth="1"/>
    <col min="652" max="652" width="13" style="1" bestFit="1" customWidth="1"/>
    <col min="653" max="654" width="23.140625" style="1" bestFit="1" customWidth="1"/>
    <col min="655" max="655" width="22" style="1" bestFit="1" customWidth="1"/>
    <col min="656" max="661" width="23.140625" style="1" bestFit="1" customWidth="1"/>
    <col min="662" max="663" width="16" style="1" bestFit="1" customWidth="1"/>
    <col min="664" max="664" width="14.5703125" style="1" bestFit="1" customWidth="1"/>
    <col min="665" max="673" width="23.140625" style="1" bestFit="1" customWidth="1"/>
    <col min="674" max="675" width="16" style="1" bestFit="1" customWidth="1"/>
    <col min="676" max="676" width="13" style="1" bestFit="1" customWidth="1"/>
    <col min="677" max="679" width="23.140625" style="1" bestFit="1" customWidth="1"/>
    <col min="680" max="685" width="22" style="1" bestFit="1" customWidth="1"/>
    <col min="686" max="687" width="16" style="1" bestFit="1" customWidth="1"/>
    <col min="688" max="688" width="14.5703125" style="1" bestFit="1" customWidth="1"/>
    <col min="689" max="689" width="13.7109375" style="1" bestFit="1" customWidth="1"/>
    <col min="690" max="691" width="23.140625" style="1" bestFit="1" customWidth="1"/>
    <col min="692" max="692" width="12.85546875" style="1" bestFit="1" customWidth="1"/>
    <col min="693" max="16384" width="11.42578125" style="1"/>
  </cols>
  <sheetData>
    <row r="1" spans="1:692" ht="26.25" customHeight="1" x14ac:dyDescent="0.25">
      <c r="A1" s="51">
        <v>2030</v>
      </c>
      <c r="B1" s="53" t="s">
        <v>2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692" ht="60" customHeight="1" thickBot="1" x14ac:dyDescent="0.3">
      <c r="A2" s="52"/>
      <c r="B2" s="54" t="s">
        <v>3</v>
      </c>
      <c r="C2" s="54"/>
      <c r="D2" s="54" t="s">
        <v>4</v>
      </c>
      <c r="E2" s="54"/>
      <c r="F2" s="54" t="s">
        <v>5</v>
      </c>
      <c r="G2" s="54"/>
      <c r="H2" s="54" t="s">
        <v>1</v>
      </c>
      <c r="I2" s="54"/>
      <c r="J2" s="54" t="s">
        <v>6</v>
      </c>
      <c r="K2" s="54"/>
      <c r="L2" s="54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</row>
    <row r="3" spans="1:692" x14ac:dyDescent="0.25">
      <c r="A3" s="24" t="s">
        <v>0</v>
      </c>
      <c r="B3" s="30" t="s">
        <v>7</v>
      </c>
      <c r="C3" s="30" t="s">
        <v>8</v>
      </c>
      <c r="D3" s="30" t="s">
        <v>7</v>
      </c>
      <c r="E3" s="30" t="s">
        <v>8</v>
      </c>
      <c r="F3" s="30" t="s">
        <v>7</v>
      </c>
      <c r="G3" s="30" t="s">
        <v>8</v>
      </c>
      <c r="H3" s="30" t="s">
        <v>7</v>
      </c>
      <c r="I3" s="30" t="s">
        <v>8</v>
      </c>
      <c r="J3" s="30" t="s">
        <v>7</v>
      </c>
      <c r="K3" s="30" t="s">
        <v>9</v>
      </c>
      <c r="L3" s="26" t="s">
        <v>10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</row>
    <row r="4" spans="1:692" ht="15" customHeight="1" x14ac:dyDescent="0.25">
      <c r="A4" s="18" t="s">
        <v>63</v>
      </c>
      <c r="B4" s="15">
        <v>11236.85</v>
      </c>
      <c r="C4" s="15">
        <v>3377.8365777703684</v>
      </c>
      <c r="D4" s="15">
        <v>232412.25</v>
      </c>
      <c r="E4" s="15">
        <v>34200.595669525035</v>
      </c>
      <c r="F4" s="15">
        <v>461240.40979147778</v>
      </c>
      <c r="G4" s="15">
        <v>146364.31922875493</v>
      </c>
      <c r="H4" s="15">
        <v>414236.55000000005</v>
      </c>
      <c r="I4" s="15">
        <v>156625.46996414941</v>
      </c>
      <c r="J4" s="14">
        <v>3671598.5060531152</v>
      </c>
      <c r="K4" s="14">
        <v>565243.953899218</v>
      </c>
      <c r="L4" s="15">
        <v>353277.47118701128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</row>
    <row r="5" spans="1:692" ht="15" customHeight="1" x14ac:dyDescent="0.25">
      <c r="A5" s="18" t="s">
        <v>62</v>
      </c>
      <c r="B5" s="15">
        <v>1989.8139703099882</v>
      </c>
      <c r="C5" s="15">
        <v>477.40515173977894</v>
      </c>
      <c r="D5" s="15">
        <v>42957.600000000006</v>
      </c>
      <c r="E5" s="15">
        <v>4214.2801811097561</v>
      </c>
      <c r="F5" s="15">
        <v>73261.602901178616</v>
      </c>
      <c r="G5" s="15">
        <v>17415.298349870063</v>
      </c>
      <c r="H5" s="15">
        <v>40549.950000000012</v>
      </c>
      <c r="I5" s="15">
        <v>10951.566848480936</v>
      </c>
      <c r="J5" s="14">
        <v>506725.30727480387</v>
      </c>
      <c r="K5" s="14">
        <v>55455.142123707221</v>
      </c>
      <c r="L5" s="15">
        <v>34920.4808473827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</row>
    <row r="6" spans="1:692" ht="15" customHeight="1" x14ac:dyDescent="0.25">
      <c r="A6" s="23" t="s">
        <v>11</v>
      </c>
      <c r="B6" s="15">
        <v>6597.4832968602877</v>
      </c>
      <c r="C6" s="15">
        <v>1582.8979801300538</v>
      </c>
      <c r="D6" s="15">
        <v>209814.15000000002</v>
      </c>
      <c r="E6" s="15">
        <v>20583.450054504661</v>
      </c>
      <c r="F6" s="15">
        <v>812803.88757932908</v>
      </c>
      <c r="G6" s="15">
        <v>193214.74881217128</v>
      </c>
      <c r="H6" s="15">
        <v>259439.25000000003</v>
      </c>
      <c r="I6" s="15">
        <v>70068.305620469502</v>
      </c>
      <c r="J6" s="14">
        <v>2418408.848703526</v>
      </c>
      <c r="K6" s="14">
        <v>266590.60535402875</v>
      </c>
      <c r="L6" s="15">
        <v>165981.59516729548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</row>
    <row r="7" spans="1:692" ht="15" customHeight="1" x14ac:dyDescent="0.25">
      <c r="A7" s="19" t="s">
        <v>61</v>
      </c>
      <c r="B7" s="15">
        <v>980.5</v>
      </c>
      <c r="C7" s="15">
        <v>196.69519333922642</v>
      </c>
      <c r="D7" s="15">
        <v>29517.600000000002</v>
      </c>
      <c r="E7" s="15">
        <v>2895.7724983221901</v>
      </c>
      <c r="F7" s="15">
        <v>78388.739800543975</v>
      </c>
      <c r="G7" s="15">
        <v>18634.089848378746</v>
      </c>
      <c r="H7" s="15">
        <v>31222.800000000003</v>
      </c>
      <c r="I7" s="15">
        <v>8432.5278180799378</v>
      </c>
      <c r="J7" s="14">
        <v>317831.86625890539</v>
      </c>
      <c r="K7" s="14">
        <v>34723.350884650798</v>
      </c>
      <c r="L7" s="15">
        <v>21924.1649191748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</row>
    <row r="8" spans="1:692" ht="15" customHeight="1" x14ac:dyDescent="0.25">
      <c r="A8" s="19" t="s">
        <v>12</v>
      </c>
      <c r="B8" s="15">
        <v>547.75777834376083</v>
      </c>
      <c r="C8" s="15">
        <v>131.42051929915263</v>
      </c>
      <c r="D8" s="15">
        <v>13177.500000000002</v>
      </c>
      <c r="E8" s="15">
        <v>1292.7555796081208</v>
      </c>
      <c r="F8" s="15">
        <v>21703.941976427926</v>
      </c>
      <c r="G8" s="15">
        <v>5159.327805011485</v>
      </c>
      <c r="H8" s="15">
        <v>15481.2</v>
      </c>
      <c r="I8" s="15">
        <v>4181.1000184883842</v>
      </c>
      <c r="J8" s="14">
        <v>154240.18377171658</v>
      </c>
      <c r="K8" s="14">
        <v>16823.096147662189</v>
      </c>
      <c r="L8" s="15">
        <v>10649.364719289599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</row>
    <row r="9" spans="1:692" ht="15" customHeight="1" x14ac:dyDescent="0.25">
      <c r="A9" s="20" t="s">
        <v>13</v>
      </c>
      <c r="B9" s="15">
        <v>2777.4063232161375</v>
      </c>
      <c r="C9" s="15">
        <v>666.36786501778136</v>
      </c>
      <c r="D9" s="15">
        <v>82893.300000000017</v>
      </c>
      <c r="E9" s="15">
        <v>8132.1021504177461</v>
      </c>
      <c r="F9" s="15">
        <v>225087.73889392565</v>
      </c>
      <c r="G9" s="15">
        <v>53506.475049733097</v>
      </c>
      <c r="H9" s="15">
        <v>59593.8</v>
      </c>
      <c r="I9" s="15">
        <v>16094.85300117517</v>
      </c>
      <c r="J9" s="14">
        <v>705728.71407318104</v>
      </c>
      <c r="K9" s="14">
        <v>77585.201967059023</v>
      </c>
      <c r="L9" s="15">
        <v>48510.267145049991</v>
      </c>
    </row>
    <row r="10" spans="1:692" ht="15" customHeight="1" x14ac:dyDescent="0.25">
      <c r="A10" s="22" t="s">
        <v>60</v>
      </c>
      <c r="B10" s="15">
        <v>2465.4181266455726</v>
      </c>
      <c r="C10" s="15">
        <v>480.92327040651384</v>
      </c>
      <c r="D10" s="15">
        <v>127417.50000000003</v>
      </c>
      <c r="E10" s="15">
        <v>6250.0354416512137</v>
      </c>
      <c r="F10" s="15">
        <v>313878.41885766096</v>
      </c>
      <c r="G10" s="15">
        <v>55736.574229452133</v>
      </c>
      <c r="H10" s="15">
        <v>91956.900000000009</v>
      </c>
      <c r="I10" s="15">
        <v>17384.743908940785</v>
      </c>
      <c r="J10" s="14">
        <v>1229381.4054006992</v>
      </c>
      <c r="K10" s="14">
        <v>94629.207565560049</v>
      </c>
      <c r="L10" s="15">
        <v>59145.637070779383</v>
      </c>
    </row>
    <row r="11" spans="1:692" ht="15" customHeight="1" x14ac:dyDescent="0.25">
      <c r="A11" s="21" t="s">
        <v>14</v>
      </c>
      <c r="B11" s="15">
        <v>862.79471950622064</v>
      </c>
      <c r="C11" s="15">
        <v>168.30332092956729</v>
      </c>
      <c r="D11" s="15">
        <v>34686.750000000007</v>
      </c>
      <c r="E11" s="15">
        <v>1701.4414570659071</v>
      </c>
      <c r="F11" s="15">
        <v>54777.189483227565</v>
      </c>
      <c r="G11" s="15">
        <v>9726.9920589768517</v>
      </c>
      <c r="H11" s="15">
        <v>40938.450000000004</v>
      </c>
      <c r="I11" s="15">
        <v>7739.5439524274634</v>
      </c>
      <c r="J11" s="14">
        <v>318520.05066333211</v>
      </c>
      <c r="K11" s="14">
        <v>24415.777285074295</v>
      </c>
      <c r="L11" s="15">
        <v>15351.730198868279</v>
      </c>
    </row>
    <row r="12" spans="1:692" ht="15" customHeight="1" x14ac:dyDescent="0.25">
      <c r="A12" s="19" t="s">
        <v>15</v>
      </c>
      <c r="B12" s="15">
        <v>533.53030358158526</v>
      </c>
      <c r="C12" s="15">
        <v>104.07449174089851</v>
      </c>
      <c r="D12" s="15">
        <v>36646.050000000003</v>
      </c>
      <c r="E12" s="15">
        <v>1797.5483061315942</v>
      </c>
      <c r="F12" s="15">
        <v>69198.266545784223</v>
      </c>
      <c r="G12" s="15">
        <v>12287.797083709505</v>
      </c>
      <c r="H12" s="15">
        <v>34325.550000000003</v>
      </c>
      <c r="I12" s="15">
        <v>6489.3542114136335</v>
      </c>
      <c r="J12" s="14">
        <v>301244.18174199318</v>
      </c>
      <c r="K12" s="14">
        <v>23031.537507193767</v>
      </c>
      <c r="L12" s="15">
        <v>14535.427538906182</v>
      </c>
    </row>
    <row r="13" spans="1:692" ht="15" customHeight="1" x14ac:dyDescent="0.25">
      <c r="A13" s="19" t="s">
        <v>16</v>
      </c>
      <c r="B13" s="15">
        <v>628.04138593032326</v>
      </c>
      <c r="C13" s="15">
        <v>122.51054456357195</v>
      </c>
      <c r="D13" s="15">
        <v>20218.800000000003</v>
      </c>
      <c r="E13" s="15">
        <v>991.76499764677169</v>
      </c>
      <c r="F13" s="15">
        <v>41913.138712601998</v>
      </c>
      <c r="G13" s="15">
        <v>7442.6740632450064</v>
      </c>
      <c r="H13" s="15">
        <v>18011.7</v>
      </c>
      <c r="I13" s="15">
        <v>3405.1690723009228</v>
      </c>
      <c r="J13" s="14">
        <v>258898.87753769426</v>
      </c>
      <c r="K13" s="14">
        <v>19891.429795589622</v>
      </c>
      <c r="L13" s="15">
        <v>12465.673238235629</v>
      </c>
    </row>
    <row r="14" spans="1:692" ht="15" customHeight="1" x14ac:dyDescent="0.25">
      <c r="A14" s="18" t="s">
        <v>59</v>
      </c>
      <c r="B14" s="15">
        <v>1055.8818769928896</v>
      </c>
      <c r="C14" s="15">
        <v>205.96837508341628</v>
      </c>
      <c r="D14" s="15">
        <v>36501.15</v>
      </c>
      <c r="E14" s="15">
        <v>1790.4407256540676</v>
      </c>
      <c r="F14" s="15">
        <v>85394.35358114235</v>
      </c>
      <c r="G14" s="15">
        <v>15163.797321503083</v>
      </c>
      <c r="H14" s="15">
        <v>43097.250000000007</v>
      </c>
      <c r="I14" s="15">
        <v>8147.6719466358518</v>
      </c>
      <c r="J14" s="14">
        <v>407792.69821289298</v>
      </c>
      <c r="K14" s="14">
        <v>31657.939498172214</v>
      </c>
      <c r="L14" s="15">
        <v>19545.666636970422</v>
      </c>
    </row>
    <row r="15" spans="1:692" ht="15" customHeight="1" x14ac:dyDescent="0.25">
      <c r="A15" s="21" t="s">
        <v>17</v>
      </c>
      <c r="B15" s="15">
        <v>1186.9778944443647</v>
      </c>
      <c r="C15" s="15">
        <v>231.5409644826085</v>
      </c>
      <c r="D15" s="15">
        <v>48722.100000000006</v>
      </c>
      <c r="E15" s="15">
        <v>2389.89818346518</v>
      </c>
      <c r="F15" s="15">
        <v>110936.61650045331</v>
      </c>
      <c r="G15" s="15">
        <v>19699.433248215068</v>
      </c>
      <c r="H15" s="15">
        <v>51236.850000000006</v>
      </c>
      <c r="I15" s="15">
        <v>9686.4891699351847</v>
      </c>
      <c r="J15" s="14">
        <v>400181.67154436099</v>
      </c>
      <c r="K15" s="14">
        <v>30672.912305966183</v>
      </c>
      <c r="L15" s="15">
        <v>19288.272364850356</v>
      </c>
    </row>
    <row r="16" spans="1:692" ht="15" customHeight="1" x14ac:dyDescent="0.25">
      <c r="A16" s="19" t="s">
        <v>18</v>
      </c>
      <c r="B16" s="15">
        <v>1195.1078800227508</v>
      </c>
      <c r="C16" s="15">
        <v>233.12686149961263</v>
      </c>
      <c r="D16" s="15">
        <v>46751.250000000007</v>
      </c>
      <c r="E16" s="15">
        <v>2293.2247881295448</v>
      </c>
      <c r="F16" s="15">
        <v>136596.40979147778</v>
      </c>
      <c r="G16" s="15">
        <v>24255.939486148403</v>
      </c>
      <c r="H16" s="15">
        <v>65616.600000000006</v>
      </c>
      <c r="I16" s="15">
        <v>12405.02656326392</v>
      </c>
      <c r="J16" s="14">
        <v>402263.79542328604</v>
      </c>
      <c r="K16" s="14">
        <v>30842.209724563472</v>
      </c>
      <c r="L16" s="15">
        <v>19385.982929046866</v>
      </c>
    </row>
    <row r="17" spans="1:12" ht="15" customHeight="1" x14ac:dyDescent="0.25">
      <c r="A17" s="18" t="s">
        <v>58</v>
      </c>
      <c r="B17" s="15">
        <v>1671.7282845556338</v>
      </c>
      <c r="C17" s="15">
        <v>326.10007412148195</v>
      </c>
      <c r="D17" s="15">
        <v>94376.1</v>
      </c>
      <c r="E17" s="15">
        <v>4629.3010759496856</v>
      </c>
      <c r="F17" s="15">
        <v>251575.26745240256</v>
      </c>
      <c r="G17" s="15">
        <v>44673.168737395245</v>
      </c>
      <c r="H17" s="15">
        <v>81923.100000000006</v>
      </c>
      <c r="I17" s="15">
        <v>15487.822161540318</v>
      </c>
      <c r="J17" s="14">
        <v>974768.7941322783</v>
      </c>
      <c r="K17" s="14">
        <v>74749.560676127076</v>
      </c>
      <c r="L17" s="15">
        <v>46972.866963873996</v>
      </c>
    </row>
    <row r="18" spans="1:12" ht="15" customHeight="1" x14ac:dyDescent="0.25">
      <c r="A18" s="18" t="s">
        <v>19</v>
      </c>
      <c r="B18" s="15">
        <v>1910.5466109207241</v>
      </c>
      <c r="C18" s="15">
        <v>372.68579899597938</v>
      </c>
      <c r="D18" s="15">
        <v>76752.900000000009</v>
      </c>
      <c r="E18" s="15">
        <v>3764.8544764220878</v>
      </c>
      <c r="F18" s="15">
        <v>208071.95285584769</v>
      </c>
      <c r="G18" s="15">
        <v>36948.121147112637</v>
      </c>
      <c r="H18" s="15">
        <v>70219.8</v>
      </c>
      <c r="I18" s="15">
        <v>13275.276138463129</v>
      </c>
      <c r="J18" s="14">
        <v>741274.17067288922</v>
      </c>
      <c r="K18" s="14">
        <v>56752.246484587689</v>
      </c>
      <c r="L18" s="15">
        <v>35746.105222514656</v>
      </c>
    </row>
    <row r="19" spans="1:12" ht="15" customHeight="1" x14ac:dyDescent="0.25">
      <c r="A19" s="18" t="s">
        <v>57</v>
      </c>
      <c r="B19" s="15">
        <v>1500.5</v>
      </c>
      <c r="C19" s="15">
        <v>387.79969730853793</v>
      </c>
      <c r="D19" s="15">
        <v>34413.750000000007</v>
      </c>
      <c r="E19" s="15">
        <v>1688.050363412596</v>
      </c>
      <c r="F19" s="15">
        <v>81876.478694469639</v>
      </c>
      <c r="G19" s="15">
        <v>14539.115014689643</v>
      </c>
      <c r="H19" s="15">
        <v>49292.250000000007</v>
      </c>
      <c r="I19" s="15">
        <v>9318.8563658136209</v>
      </c>
      <c r="J19" s="14">
        <v>504061.3991334131</v>
      </c>
      <c r="K19" s="14">
        <v>38852.214628453636</v>
      </c>
      <c r="L19" s="15">
        <v>24235.969409571073</v>
      </c>
    </row>
    <row r="20" spans="1:12" ht="15" customHeight="1" x14ac:dyDescent="0.25">
      <c r="A20" s="19" t="s">
        <v>20</v>
      </c>
      <c r="B20" s="15">
        <v>485.76663830856705</v>
      </c>
      <c r="C20" s="15">
        <v>94.757346765999017</v>
      </c>
      <c r="D20" s="15">
        <v>16292.850000000004</v>
      </c>
      <c r="E20" s="15">
        <v>799.19077007088481</v>
      </c>
      <c r="F20" s="15">
        <v>25154.513145965546</v>
      </c>
      <c r="G20" s="15">
        <v>4466.7817375543618</v>
      </c>
      <c r="H20" s="15">
        <v>20187.300000000003</v>
      </c>
      <c r="I20" s="15">
        <v>3816.473159849455</v>
      </c>
      <c r="J20" s="14">
        <v>186018.68488676849</v>
      </c>
      <c r="K20" s="14">
        <v>14274.974610956035</v>
      </c>
      <c r="L20" s="15">
        <v>8961.2123870379746</v>
      </c>
    </row>
    <row r="21" spans="1:12" ht="15" customHeight="1" x14ac:dyDescent="0.25">
      <c r="A21" s="19" t="s">
        <v>21</v>
      </c>
      <c r="B21" s="15">
        <v>267.27327588944172</v>
      </c>
      <c r="C21" s="15">
        <v>52.136364434012009</v>
      </c>
      <c r="D21" s="15">
        <v>18956.7</v>
      </c>
      <c r="E21" s="15">
        <v>929.85694160338687</v>
      </c>
      <c r="F21" s="15">
        <v>25985.262012692656</v>
      </c>
      <c r="G21" s="15">
        <v>4614.3009459309224</v>
      </c>
      <c r="H21" s="15">
        <v>18333.000000000004</v>
      </c>
      <c r="I21" s="15">
        <v>3465.9118574311601</v>
      </c>
      <c r="J21" s="14">
        <v>144083.36288085146</v>
      </c>
      <c r="K21" s="14">
        <v>11035.785791923428</v>
      </c>
      <c r="L21" s="15">
        <v>6946.7798771006919</v>
      </c>
    </row>
    <row r="22" spans="1:12" ht="15" customHeight="1" x14ac:dyDescent="0.25">
      <c r="A22" s="18" t="s">
        <v>22</v>
      </c>
      <c r="B22" s="15">
        <v>270.32202048133649</v>
      </c>
      <c r="C22" s="15">
        <v>52.731075815388579</v>
      </c>
      <c r="D22" s="15">
        <v>6968.8500000000013</v>
      </c>
      <c r="E22" s="15">
        <v>341.83341760394808</v>
      </c>
      <c r="F22" s="15">
        <v>12733.461468721669</v>
      </c>
      <c r="G22" s="15">
        <v>2261.1287610414556</v>
      </c>
      <c r="H22" s="15">
        <v>9822.7500000000018</v>
      </c>
      <c r="I22" s="15">
        <v>1857.02207481492</v>
      </c>
      <c r="J22" s="14">
        <v>90218.535050113365</v>
      </c>
      <c r="K22" s="14">
        <v>6914.7508620071458</v>
      </c>
      <c r="L22" s="15">
        <v>4348.4982135659311</v>
      </c>
    </row>
    <row r="23" spans="1:12" ht="15" customHeight="1" x14ac:dyDescent="0.25">
      <c r="A23" s="18" t="s">
        <v>23</v>
      </c>
      <c r="B23" s="15">
        <v>107.72230891361531</v>
      </c>
      <c r="C23" s="15">
        <v>21.013135475305219</v>
      </c>
      <c r="D23" s="15">
        <v>5783.4000000000015</v>
      </c>
      <c r="E23" s="15">
        <v>283.68516862476213</v>
      </c>
      <c r="F23" s="15">
        <v>7549.0661831368998</v>
      </c>
      <c r="G23" s="15">
        <v>1340.5161438329551</v>
      </c>
      <c r="H23" s="15">
        <v>7775.2500000000018</v>
      </c>
      <c r="I23" s="15">
        <v>1469.9356989849796</v>
      </c>
      <c r="J23" s="14">
        <v>47890.801511459395</v>
      </c>
      <c r="K23" s="14">
        <v>3677.0565266608005</v>
      </c>
      <c r="L23" s="15">
        <v>2306.548986239603</v>
      </c>
    </row>
    <row r="24" spans="1:12" ht="15" customHeight="1" x14ac:dyDescent="0.25">
      <c r="A24" s="18" t="s">
        <v>56</v>
      </c>
      <c r="B24" s="15">
        <v>1690.0207521070022</v>
      </c>
      <c r="C24" s="15">
        <v>329.66834240974129</v>
      </c>
      <c r="D24" s="15">
        <v>41427.750000000007</v>
      </c>
      <c r="E24" s="15">
        <v>2032.0984618899763</v>
      </c>
      <c r="F24" s="15">
        <v>84774.556663644602</v>
      </c>
      <c r="G24" s="15">
        <v>15053.737646087924</v>
      </c>
      <c r="H24" s="15">
        <v>39508.35</v>
      </c>
      <c r="I24" s="15">
        <v>7469.1790068477794</v>
      </c>
      <c r="J24" s="14">
        <v>603564.07868069306</v>
      </c>
      <c r="K24" s="14">
        <v>46489.708488794196</v>
      </c>
      <c r="L24" s="15">
        <v>29028.917501079901</v>
      </c>
    </row>
    <row r="25" spans="1:12" ht="15" customHeight="1" x14ac:dyDescent="0.25">
      <c r="A25" s="18" t="s">
        <v>24</v>
      </c>
      <c r="B25" s="15">
        <v>3075.1670450245274</v>
      </c>
      <c r="C25" s="15">
        <v>599.86554668182646</v>
      </c>
      <c r="D25" s="15">
        <v>112884.45000000001</v>
      </c>
      <c r="E25" s="15">
        <v>5537.1657214378265</v>
      </c>
      <c r="F25" s="15">
        <v>96976.620126926573</v>
      </c>
      <c r="G25" s="15">
        <v>17220.504059812327</v>
      </c>
      <c r="H25" s="15">
        <v>71706.600000000006</v>
      </c>
      <c r="I25" s="15">
        <v>13556.360399065794</v>
      </c>
      <c r="J25" s="14">
        <v>576985.51844845118</v>
      </c>
      <c r="K25" s="14">
        <v>45005.984718105326</v>
      </c>
      <c r="L25" s="15">
        <v>27597.052866346647</v>
      </c>
    </row>
    <row r="26" spans="1:12" ht="15" customHeight="1" x14ac:dyDescent="0.25">
      <c r="A26" s="18" t="s">
        <v>25</v>
      </c>
      <c r="B26" s="15">
        <v>2997.9321820298596</v>
      </c>
      <c r="C26" s="15">
        <v>584.79952502028686</v>
      </c>
      <c r="D26" s="15">
        <v>107194.50000000001</v>
      </c>
      <c r="E26" s="15">
        <v>5258.0644271790052</v>
      </c>
      <c r="F26" s="15">
        <v>91246.763372620131</v>
      </c>
      <c r="G26" s="15">
        <v>16203.031793089351</v>
      </c>
      <c r="H26" s="15">
        <v>77651.700000000012</v>
      </c>
      <c r="I26" s="15">
        <v>14680.300429808934</v>
      </c>
      <c r="J26" s="14">
        <v>546183.16542478476</v>
      </c>
      <c r="K26" s="14">
        <v>42431.750205073142</v>
      </c>
      <c r="L26" s="15">
        <v>26170.54178016854</v>
      </c>
    </row>
    <row r="27" spans="1:12" ht="15" customHeight="1" x14ac:dyDescent="0.25">
      <c r="A27" s="19" t="s">
        <v>55</v>
      </c>
      <c r="B27" s="15">
        <v>530.48155898969048</v>
      </c>
      <c r="C27" s="15">
        <v>103.47978035952195</v>
      </c>
      <c r="D27" s="15">
        <v>32866.050000000003</v>
      </c>
      <c r="E27" s="15">
        <v>1612.1331632395929</v>
      </c>
      <c r="F27" s="15">
        <v>49331.615593834998</v>
      </c>
      <c r="G27" s="15">
        <v>8760.0009723875701</v>
      </c>
      <c r="H27" s="15">
        <v>30063.600000000002</v>
      </c>
      <c r="I27" s="15">
        <v>5683.6190321860804</v>
      </c>
      <c r="J27" s="14">
        <v>223151.35828306933</v>
      </c>
      <c r="K27" s="14">
        <v>17155.374714165708</v>
      </c>
      <c r="L27" s="15">
        <v>10741.622869294701</v>
      </c>
    </row>
    <row r="28" spans="1:12" ht="15" customHeight="1" x14ac:dyDescent="0.25">
      <c r="A28" s="18" t="s">
        <v>26</v>
      </c>
      <c r="B28" s="15">
        <v>382.10932218414484</v>
      </c>
      <c r="C28" s="15">
        <v>74.537159799195877</v>
      </c>
      <c r="D28" s="15">
        <v>18700.500000000004</v>
      </c>
      <c r="E28" s="15">
        <v>917.289915251818</v>
      </c>
      <c r="F28" s="15">
        <v>23739.126019945605</v>
      </c>
      <c r="G28" s="15">
        <v>4215.4461092562069</v>
      </c>
      <c r="H28" s="15">
        <v>18187.050000000003</v>
      </c>
      <c r="I28" s="15">
        <v>3438.3195465386671</v>
      </c>
      <c r="J28" s="14">
        <v>114348.9158691606</v>
      </c>
      <c r="K28" s="14">
        <v>8797.4697887340371</v>
      </c>
      <c r="L28" s="15">
        <v>5502.5104906608603</v>
      </c>
    </row>
    <row r="29" spans="1:12" ht="15" customHeight="1" x14ac:dyDescent="0.25">
      <c r="A29" s="18" t="s">
        <v>27</v>
      </c>
      <c r="B29" s="15">
        <v>94.511082348737943</v>
      </c>
      <c r="C29" s="15">
        <v>18.436052822673449</v>
      </c>
      <c r="D29" s="15">
        <v>11221.350000000002</v>
      </c>
      <c r="E29" s="15">
        <v>550.42545335744967</v>
      </c>
      <c r="F29" s="15">
        <v>15646.607434270172</v>
      </c>
      <c r="G29" s="15">
        <v>2778.4270733655503</v>
      </c>
      <c r="H29" s="15">
        <v>12745.950000000003</v>
      </c>
      <c r="I29" s="15">
        <v>2409.6623159998198</v>
      </c>
      <c r="J29" s="14">
        <v>71825.952712229555</v>
      </c>
      <c r="K29" s="14">
        <v>5504.6759695553874</v>
      </c>
      <c r="L29" s="15">
        <v>3462.0879219278713</v>
      </c>
    </row>
    <row r="30" spans="1:12" ht="15" customHeight="1" x14ac:dyDescent="0.25">
      <c r="A30" s="19" t="s">
        <v>28</v>
      </c>
      <c r="B30" s="15">
        <v>534.54655177888344</v>
      </c>
      <c r="C30" s="15">
        <v>85.24184753081596</v>
      </c>
      <c r="D30" s="15">
        <v>34017.900000000009</v>
      </c>
      <c r="E30" s="15">
        <v>1112.4221850768633</v>
      </c>
      <c r="F30" s="15">
        <v>59317.679057116955</v>
      </c>
      <c r="G30" s="15">
        <v>7741.2112594086302</v>
      </c>
      <c r="H30" s="15">
        <v>33785.850000000006</v>
      </c>
      <c r="I30" s="15">
        <v>4258.2148085743584</v>
      </c>
      <c r="J30" s="14">
        <v>242013.46785290953</v>
      </c>
      <c r="K30" s="14">
        <v>12371.752749148665</v>
      </c>
      <c r="L30" s="15">
        <v>7777.2423273513123</v>
      </c>
    </row>
    <row r="31" spans="1:12" ht="15" customHeight="1" x14ac:dyDescent="0.25">
      <c r="A31" s="18" t="s">
        <v>29</v>
      </c>
      <c r="B31" s="15">
        <v>1279.4564803985063</v>
      </c>
      <c r="C31" s="15">
        <v>204.02944114315073</v>
      </c>
      <c r="D31" s="15">
        <v>42278.25</v>
      </c>
      <c r="E31" s="15">
        <v>1382.5445793604511</v>
      </c>
      <c r="F31" s="15">
        <v>115313.36718041704</v>
      </c>
      <c r="G31" s="15">
        <v>15048.888469115915</v>
      </c>
      <c r="H31" s="15">
        <v>37937.550000000003</v>
      </c>
      <c r="I31" s="15">
        <v>4781.4761863629337</v>
      </c>
      <c r="J31" s="14">
        <v>521120.56317846442</v>
      </c>
      <c r="K31" s="14">
        <v>26758.282960261924</v>
      </c>
      <c r="L31" s="15">
        <v>16708.790539803569</v>
      </c>
    </row>
    <row r="32" spans="1:12" ht="15" customHeight="1" x14ac:dyDescent="0.25">
      <c r="A32" s="19" t="s">
        <v>30</v>
      </c>
      <c r="B32" s="15">
        <v>643.28510888979713</v>
      </c>
      <c r="C32" s="15">
        <v>102.58191917681847</v>
      </c>
      <c r="D32" s="15">
        <v>27996.15</v>
      </c>
      <c r="E32" s="15">
        <v>915.50443609804313</v>
      </c>
      <c r="F32" s="15">
        <v>56947.985494106979</v>
      </c>
      <c r="G32" s="15">
        <v>7431.956096649189</v>
      </c>
      <c r="H32" s="15">
        <v>26427.450000000004</v>
      </c>
      <c r="I32" s="15">
        <v>3330.7955532525725</v>
      </c>
      <c r="J32" s="14">
        <v>298236.66947243473</v>
      </c>
      <c r="K32" s="14">
        <v>15272.028786401426</v>
      </c>
      <c r="L32" s="15">
        <v>9575.690046820233</v>
      </c>
    </row>
    <row r="33" spans="1:12" ht="15" customHeight="1" x14ac:dyDescent="0.25">
      <c r="A33" s="18" t="s">
        <v>54</v>
      </c>
      <c r="B33" s="15">
        <v>2146.3161926939201</v>
      </c>
      <c r="C33" s="15">
        <v>342.26384407810514</v>
      </c>
      <c r="D33" s="15">
        <v>87123.750000000015</v>
      </c>
      <c r="E33" s="15">
        <v>2849.0410150858916</v>
      </c>
      <c r="F33" s="15">
        <v>262727.59383499547</v>
      </c>
      <c r="G33" s="15">
        <v>34287.076633501303</v>
      </c>
      <c r="H33" s="15">
        <v>58308.600000000006</v>
      </c>
      <c r="I33" s="15">
        <v>7348.9506402011148</v>
      </c>
      <c r="J33" s="14">
        <v>910479.68083363539</v>
      </c>
      <c r="K33" s="14">
        <v>46776.500396566596</v>
      </c>
      <c r="L33" s="15">
        <v>29184.753336896752</v>
      </c>
    </row>
    <row r="34" spans="1:12" ht="15" customHeight="1" x14ac:dyDescent="0.25">
      <c r="A34" s="18" t="s">
        <v>53</v>
      </c>
      <c r="B34" s="15">
        <v>1962.3752689829353</v>
      </c>
      <c r="C34" s="15">
        <v>312.93157334982061</v>
      </c>
      <c r="D34" s="15">
        <v>79620.450000000012</v>
      </c>
      <c r="E34" s="15">
        <v>2603.6749759921436</v>
      </c>
      <c r="F34" s="15">
        <v>268421.28739800543</v>
      </c>
      <c r="G34" s="15">
        <v>35030.128037706687</v>
      </c>
      <c r="H34" s="15">
        <v>92764.35</v>
      </c>
      <c r="I34" s="15">
        <v>11691.596596734276</v>
      </c>
      <c r="J34" s="14">
        <v>809887.6200163695</v>
      </c>
      <c r="K34" s="14">
        <v>41692.94625165176</v>
      </c>
      <c r="L34" s="15">
        <v>25933.48537974236</v>
      </c>
    </row>
    <row r="35" spans="1:12" x14ac:dyDescent="0.25">
      <c r="A35" s="20" t="s">
        <v>31</v>
      </c>
      <c r="B35" s="15">
        <v>1117.8730170280833</v>
      </c>
      <c r="C35" s="15">
        <v>178.26241879067976</v>
      </c>
      <c r="D35" s="15">
        <v>52297.350000000006</v>
      </c>
      <c r="E35" s="15">
        <v>1710.1800040781322</v>
      </c>
      <c r="F35" s="15">
        <v>210062.93744333636</v>
      </c>
      <c r="G35" s="15">
        <v>27414.113336346076</v>
      </c>
      <c r="H35" s="15">
        <v>38630.550000000003</v>
      </c>
      <c r="I35" s="15">
        <v>4868.8187532168695</v>
      </c>
      <c r="J35" s="14">
        <v>558448.46619304235</v>
      </c>
      <c r="K35" s="14">
        <v>28635.857014848814</v>
      </c>
      <c r="L35" s="15">
        <v>17918.090686177024</v>
      </c>
    </row>
    <row r="36" spans="1:12" ht="15" customHeight="1" x14ac:dyDescent="0.25">
      <c r="A36" s="18" t="s">
        <v>52</v>
      </c>
      <c r="B36" s="15">
        <v>1280.4727285958047</v>
      </c>
      <c r="C36" s="15">
        <v>204.19149788750593</v>
      </c>
      <c r="D36" s="15">
        <v>49414.05000000001</v>
      </c>
      <c r="E36" s="15">
        <v>1615.8929703037923</v>
      </c>
      <c r="F36" s="15">
        <v>166352.6890299184</v>
      </c>
      <c r="G36" s="15">
        <v>21709.738644887177</v>
      </c>
      <c r="H36" s="15">
        <v>60809.700000000012</v>
      </c>
      <c r="I36" s="15">
        <v>7664.177904210318</v>
      </c>
      <c r="J36" s="14">
        <v>452500.28079834452</v>
      </c>
      <c r="K36" s="14">
        <v>23193.63862699677</v>
      </c>
      <c r="L36" s="15">
        <v>14521.700731781322</v>
      </c>
    </row>
    <row r="37" spans="1:12" ht="15" customHeight="1" x14ac:dyDescent="0.25">
      <c r="A37" s="19" t="s">
        <v>51</v>
      </c>
      <c r="B37" s="15">
        <v>654.46383906007782</v>
      </c>
      <c r="C37" s="15">
        <v>104.36454336472525</v>
      </c>
      <c r="D37" s="15">
        <v>24188.850000000006</v>
      </c>
      <c r="E37" s="15">
        <v>791.00160125982165</v>
      </c>
      <c r="F37" s="15">
        <v>42806.168631006352</v>
      </c>
      <c r="G37" s="15">
        <v>5586.3884063874684</v>
      </c>
      <c r="H37" s="15">
        <v>32107.950000000004</v>
      </c>
      <c r="I37" s="15">
        <v>4046.7399270098304</v>
      </c>
      <c r="J37" s="14">
        <v>252634.93523527411</v>
      </c>
      <c r="K37" s="14">
        <v>12952.084047628845</v>
      </c>
      <c r="L37" s="15">
        <v>8106.6819105259565</v>
      </c>
    </row>
    <row r="38" spans="1:12" ht="15" customHeight="1" x14ac:dyDescent="0.25">
      <c r="A38" s="19" t="s">
        <v>32</v>
      </c>
      <c r="B38" s="15">
        <v>524.38406980590082</v>
      </c>
      <c r="C38" s="15">
        <v>83.621280087264324</v>
      </c>
      <c r="D38" s="15">
        <v>16200.450000000003</v>
      </c>
      <c r="E38" s="15">
        <v>529.77226660753513</v>
      </c>
      <c r="F38" s="15">
        <v>25594.498640072532</v>
      </c>
      <c r="G38" s="15">
        <v>3340.1917303721002</v>
      </c>
      <c r="H38" s="15">
        <v>17078.25</v>
      </c>
      <c r="I38" s="15">
        <v>2152.4649240594813</v>
      </c>
      <c r="J38" s="14">
        <v>170077.21040635341</v>
      </c>
      <c r="K38" s="14">
        <v>8721.5563241745131</v>
      </c>
      <c r="L38" s="15">
        <v>5456.8772328147288</v>
      </c>
    </row>
    <row r="39" spans="1:12" ht="15" customHeight="1" x14ac:dyDescent="0.25">
      <c r="A39" s="18" t="s">
        <v>33</v>
      </c>
      <c r="B39" s="15">
        <v>241.86707095698532</v>
      </c>
      <c r="C39" s="15">
        <v>38.569505156528905</v>
      </c>
      <c r="D39" s="15">
        <v>11492.250000000002</v>
      </c>
      <c r="E39" s="15">
        <v>375.80902573202877</v>
      </c>
      <c r="F39" s="15">
        <v>22524.645512239349</v>
      </c>
      <c r="G39" s="15">
        <v>2939.5627446184544</v>
      </c>
      <c r="H39" s="15">
        <v>17977.050000000003</v>
      </c>
      <c r="I39" s="15">
        <v>2265.7455865245856</v>
      </c>
      <c r="J39" s="14">
        <v>135336.09983394682</v>
      </c>
      <c r="K39" s="14">
        <v>6909.3323204273329</v>
      </c>
      <c r="L39" s="15">
        <v>4351.9871442569774</v>
      </c>
    </row>
    <row r="40" spans="1:12" ht="15" customHeight="1" x14ac:dyDescent="0.25">
      <c r="A40" s="18" t="s">
        <v>34</v>
      </c>
      <c r="B40" s="15">
        <v>376.0118330003553</v>
      </c>
      <c r="C40" s="15">
        <v>59.960995411410465</v>
      </c>
      <c r="D40" s="15">
        <v>18282.600000000002</v>
      </c>
      <c r="E40" s="15">
        <v>597.86082741398661</v>
      </c>
      <c r="F40" s="15">
        <v>24294.632819582956</v>
      </c>
      <c r="G40" s="15">
        <v>3170.5536716138477</v>
      </c>
      <c r="H40" s="15">
        <v>17315.550000000003</v>
      </c>
      <c r="I40" s="15">
        <v>2182.3731363458292</v>
      </c>
      <c r="J40" s="14">
        <v>108951.79307189069</v>
      </c>
      <c r="K40" s="14">
        <v>5576.881058028478</v>
      </c>
      <c r="L40" s="15">
        <v>3498.9204755799442</v>
      </c>
    </row>
    <row r="41" spans="1:12" ht="15" customHeight="1" x14ac:dyDescent="0.25">
      <c r="A41" s="18" t="s">
        <v>35</v>
      </c>
      <c r="B41" s="15">
        <v>236.78582997049401</v>
      </c>
      <c r="C41" s="15">
        <v>37.75922143475308</v>
      </c>
      <c r="D41" s="15">
        <v>9924.6000000000022</v>
      </c>
      <c r="E41" s="15">
        <v>324.54517233614763</v>
      </c>
      <c r="F41" s="15">
        <v>17577.320036264733</v>
      </c>
      <c r="G41" s="15">
        <v>2293.9155735331447</v>
      </c>
      <c r="H41" s="15">
        <v>12423.600000000002</v>
      </c>
      <c r="I41" s="15">
        <v>1565.8140166905494</v>
      </c>
      <c r="J41" s="14">
        <v>97895.939788859585</v>
      </c>
      <c r="K41" s="14">
        <v>5013.3079410948676</v>
      </c>
      <c r="L41" s="15">
        <v>3143.1241489737254</v>
      </c>
    </row>
    <row r="42" spans="1:12" ht="15" customHeight="1" x14ac:dyDescent="0.25">
      <c r="A42" s="18" t="s">
        <v>36</v>
      </c>
      <c r="B42" s="15">
        <v>319.10193395165288</v>
      </c>
      <c r="C42" s="15">
        <v>50.885817727521321</v>
      </c>
      <c r="D42" s="15">
        <v>10279.500000000002</v>
      </c>
      <c r="E42" s="15">
        <v>336.15078683568402</v>
      </c>
      <c r="F42" s="15">
        <v>12719.398005439711</v>
      </c>
      <c r="G42" s="15">
        <v>1659.9359350826771</v>
      </c>
      <c r="H42" s="15">
        <v>10678.500000000002</v>
      </c>
      <c r="I42" s="15">
        <v>1345.8695528856397</v>
      </c>
      <c r="J42" s="14">
        <v>87144.644710340726</v>
      </c>
      <c r="K42" s="14">
        <v>4464.7385522502209</v>
      </c>
      <c r="L42" s="15">
        <v>2797.2948476389993</v>
      </c>
    </row>
    <row r="43" spans="1:12" ht="15" customHeight="1" x14ac:dyDescent="0.25">
      <c r="A43" s="19" t="s">
        <v>37</v>
      </c>
      <c r="B43" s="15">
        <v>1233.7253115200847</v>
      </c>
      <c r="C43" s="15">
        <v>196.73688764716843</v>
      </c>
      <c r="D43" s="15">
        <v>16000.950000000003</v>
      </c>
      <c r="E43" s="15">
        <v>523.24840046874249</v>
      </c>
      <c r="F43" s="15">
        <v>29785.410698096104</v>
      </c>
      <c r="G43" s="15">
        <v>3887.123709614315</v>
      </c>
      <c r="H43" s="15">
        <v>24698.100000000002</v>
      </c>
      <c r="I43" s="15">
        <v>3112.8361477852518</v>
      </c>
      <c r="J43" s="14">
        <v>195804.56950290719</v>
      </c>
      <c r="K43" s="14">
        <v>10069.152831668633</v>
      </c>
      <c r="L43" s="15">
        <v>6273.328175342147</v>
      </c>
    </row>
    <row r="44" spans="1:12" ht="15" customHeight="1" x14ac:dyDescent="0.25">
      <c r="A44" s="19" t="s">
        <v>38</v>
      </c>
      <c r="B44" s="15">
        <v>627.02513773302485</v>
      </c>
      <c r="C44" s="15">
        <v>99.989011267135837</v>
      </c>
      <c r="D44" s="15">
        <v>17415.300000000003</v>
      </c>
      <c r="E44" s="15">
        <v>569.4991777790251</v>
      </c>
      <c r="F44" s="15">
        <v>29727.147778785133</v>
      </c>
      <c r="G44" s="15">
        <v>3879.5201490208228</v>
      </c>
      <c r="H44" s="15">
        <v>19861.800000000003</v>
      </c>
      <c r="I44" s="15">
        <v>2503.2909009227883</v>
      </c>
      <c r="J44" s="14">
        <v>181716.80024803302</v>
      </c>
      <c r="K44" s="14">
        <v>9314.1798225529928</v>
      </c>
      <c r="L44" s="15">
        <v>5831.6837232679982</v>
      </c>
    </row>
    <row r="45" spans="1:12" ht="15" customHeight="1" x14ac:dyDescent="0.25">
      <c r="A45" s="18" t="s">
        <v>39</v>
      </c>
      <c r="B45" s="15">
        <v>64.023636429790216</v>
      </c>
      <c r="C45" s="15">
        <v>10.209574894375296</v>
      </c>
      <c r="D45" s="15">
        <v>2316.3000000000006</v>
      </c>
      <c r="E45" s="15">
        <v>75.745519485139837</v>
      </c>
      <c r="F45" s="15">
        <v>15983.126019945603</v>
      </c>
      <c r="G45" s="15">
        <v>2085.8664241905285</v>
      </c>
      <c r="H45" s="15">
        <v>5432.7000000000007</v>
      </c>
      <c r="I45" s="15">
        <v>684.71278924585044</v>
      </c>
      <c r="J45" s="14">
        <v>40578.476158891324</v>
      </c>
      <c r="K45" s="14">
        <v>2085.8039153139944</v>
      </c>
      <c r="L45" s="15">
        <v>1300.3765424118189</v>
      </c>
    </row>
    <row r="46" spans="1:12" x14ac:dyDescent="0.25">
      <c r="A46" s="19" t="s">
        <v>40</v>
      </c>
      <c r="B46" s="15">
        <v>743.89368042232445</v>
      </c>
      <c r="C46" s="15">
        <v>103.03860761359391</v>
      </c>
      <c r="D46" s="15">
        <v>36533.700000000004</v>
      </c>
      <c r="E46" s="15">
        <v>896.01867802559661</v>
      </c>
      <c r="F46" s="15">
        <v>106922.50226654578</v>
      </c>
      <c r="G46" s="15">
        <v>11298.584252446872</v>
      </c>
      <c r="H46" s="15">
        <v>52867.5</v>
      </c>
      <c r="I46" s="15">
        <v>4997.3843648814109</v>
      </c>
      <c r="J46" s="14">
        <v>367445.56915166002</v>
      </c>
      <c r="K46" s="14">
        <v>14174.289710488163</v>
      </c>
      <c r="L46" s="15">
        <v>8830.0371109954049</v>
      </c>
    </row>
    <row r="47" spans="1:12" ht="15" customHeight="1" x14ac:dyDescent="0.25">
      <c r="A47" s="19" t="s">
        <v>41</v>
      </c>
      <c r="B47" s="15">
        <v>844.502251954852</v>
      </c>
      <c r="C47" s="15">
        <v>116.97415700395702</v>
      </c>
      <c r="D47" s="15">
        <v>50174.250000000015</v>
      </c>
      <c r="E47" s="15">
        <v>1230.5642504297621</v>
      </c>
      <c r="F47" s="15">
        <v>87273.83499546691</v>
      </c>
      <c r="G47" s="15">
        <v>9222.2942488968838</v>
      </c>
      <c r="H47" s="15">
        <v>42286.650000000009</v>
      </c>
      <c r="I47" s="15">
        <v>3997.2127214869743</v>
      </c>
      <c r="J47" s="14">
        <v>353179.16479606228</v>
      </c>
      <c r="K47" s="14">
        <v>13592.138802436144</v>
      </c>
      <c r="L47" s="15">
        <v>8495.8739399740571</v>
      </c>
    </row>
    <row r="48" spans="1:12" ht="15" customHeight="1" x14ac:dyDescent="0.25">
      <c r="A48" s="19" t="s">
        <v>42</v>
      </c>
      <c r="B48" s="15">
        <v>780.47861552506174</v>
      </c>
      <c r="C48" s="15">
        <v>108.10608011918049</v>
      </c>
      <c r="D48" s="15">
        <v>46983.3</v>
      </c>
      <c r="E48" s="15">
        <v>1152.3036088674296</v>
      </c>
      <c r="F48" s="15">
        <v>62708.982774252043</v>
      </c>
      <c r="G48" s="15">
        <v>6626.507145276667</v>
      </c>
      <c r="H48" s="15">
        <v>44138.850000000006</v>
      </c>
      <c r="I48" s="15">
        <v>4172.2948668623621</v>
      </c>
      <c r="J48" s="14">
        <v>374951.17182632239</v>
      </c>
      <c r="K48" s="14">
        <v>14399.954058384761</v>
      </c>
      <c r="L48" s="15">
        <v>9027.8059787764232</v>
      </c>
    </row>
    <row r="49" spans="1:12" ht="15" customHeight="1" x14ac:dyDescent="0.25">
      <c r="A49" s="19" t="s">
        <v>50</v>
      </c>
      <c r="B49" s="15">
        <v>587.39145803839301</v>
      </c>
      <c r="C49" s="15">
        <v>81.361086339695746</v>
      </c>
      <c r="D49" s="15">
        <v>40818.750000000007</v>
      </c>
      <c r="E49" s="15">
        <v>1001.1130111009104</v>
      </c>
      <c r="F49" s="15">
        <v>81497.76971894833</v>
      </c>
      <c r="G49" s="15">
        <v>8611.9329237224229</v>
      </c>
      <c r="H49" s="15">
        <v>66887.100000000006</v>
      </c>
      <c r="I49" s="15">
        <v>6322.6093110561214</v>
      </c>
      <c r="J49" s="14">
        <v>286110.95788124524</v>
      </c>
      <c r="K49" s="14">
        <v>11006.119683144392</v>
      </c>
      <c r="L49" s="15">
        <v>6883.8528715233078</v>
      </c>
    </row>
    <row r="50" spans="1:12" ht="15" customHeight="1" x14ac:dyDescent="0.25">
      <c r="A50" s="19" t="s">
        <v>43</v>
      </c>
      <c r="B50" s="15">
        <v>761.16989977639491</v>
      </c>
      <c r="C50" s="15">
        <v>105.43158074123201</v>
      </c>
      <c r="D50" s="15">
        <v>29893.500000000004</v>
      </c>
      <c r="E50" s="15">
        <v>733.16237751878873</v>
      </c>
      <c r="F50" s="15">
        <v>58561.265639165911</v>
      </c>
      <c r="G50" s="15">
        <v>6188.2146389035643</v>
      </c>
      <c r="H50" s="15">
        <v>20469.75</v>
      </c>
      <c r="I50" s="15">
        <v>1934.9356145653051</v>
      </c>
      <c r="J50" s="14">
        <v>244724.23110268678</v>
      </c>
      <c r="K50" s="14">
        <v>9429.1795349145159</v>
      </c>
      <c r="L50" s="15">
        <v>5883.9634953392078</v>
      </c>
    </row>
    <row r="51" spans="1:12" x14ac:dyDescent="0.25">
      <c r="A51" s="19" t="s">
        <v>44</v>
      </c>
      <c r="B51" s="15">
        <v>770.31613355207924</v>
      </c>
      <c r="C51" s="15">
        <v>106.69844886762867</v>
      </c>
      <c r="D51" s="15">
        <v>30696.750000000004</v>
      </c>
      <c r="E51" s="15">
        <v>752.86273645106405</v>
      </c>
      <c r="F51" s="15">
        <v>80435.978241160483</v>
      </c>
      <c r="G51" s="15">
        <v>8499.7325896860057</v>
      </c>
      <c r="H51" s="15">
        <v>44601.900000000009</v>
      </c>
      <c r="I51" s="15">
        <v>4216.0654032062093</v>
      </c>
      <c r="J51" s="14">
        <v>363209.08643504733</v>
      </c>
      <c r="K51" s="14">
        <v>13979.278112293428</v>
      </c>
      <c r="L51" s="15">
        <v>8736.8382086492329</v>
      </c>
    </row>
    <row r="52" spans="1:12" ht="15" customHeight="1" x14ac:dyDescent="0.25">
      <c r="A52" s="19" t="s">
        <v>45</v>
      </c>
      <c r="B52" s="15">
        <v>424.79174647067168</v>
      </c>
      <c r="C52" s="15">
        <v>58.838986314866467</v>
      </c>
      <c r="D52" s="15">
        <v>25879.350000000002</v>
      </c>
      <c r="E52" s="15">
        <v>634.71208706377195</v>
      </c>
      <c r="F52" s="15">
        <v>52303.024478694475</v>
      </c>
      <c r="G52" s="15">
        <v>5526.9014118014966</v>
      </c>
      <c r="H52" s="15">
        <v>22861.650000000005</v>
      </c>
      <c r="I52" s="15">
        <v>2161.033759216743</v>
      </c>
      <c r="J52" s="14">
        <v>187000.68986670222</v>
      </c>
      <c r="K52" s="14">
        <v>7187.9687856081409</v>
      </c>
      <c r="L52" s="15">
        <v>4500.7711578507706</v>
      </c>
    </row>
    <row r="53" spans="1:12" ht="15" customHeight="1" x14ac:dyDescent="0.25">
      <c r="A53" s="18" t="s">
        <v>46</v>
      </c>
      <c r="B53" s="15">
        <v>112.80354990010659</v>
      </c>
      <c r="C53" s="15">
        <v>15.624706892225307</v>
      </c>
      <c r="D53" s="15">
        <v>11117.400000000001</v>
      </c>
      <c r="E53" s="15">
        <v>272.66326846395981</v>
      </c>
      <c r="F53" s="15">
        <v>15526.063463281958</v>
      </c>
      <c r="G53" s="15">
        <v>1640.6512420689482</v>
      </c>
      <c r="H53" s="15">
        <v>13752.900000000001</v>
      </c>
      <c r="I53" s="15">
        <v>1300.0147052873235</v>
      </c>
      <c r="J53" s="14">
        <v>86665.355997470484</v>
      </c>
      <c r="K53" s="14">
        <v>3333.8072139813812</v>
      </c>
      <c r="L53" s="15">
        <v>2085.1855052380652</v>
      </c>
    </row>
    <row r="54" spans="1:12" x14ac:dyDescent="0.25">
      <c r="A54" s="19" t="s">
        <v>49</v>
      </c>
      <c r="B54" s="15">
        <v>616.86265576004234</v>
      </c>
      <c r="C54" s="15">
        <v>85.443216969196044</v>
      </c>
      <c r="D54" s="15">
        <v>30754.500000000007</v>
      </c>
      <c r="E54" s="15">
        <v>754.27910212593349</v>
      </c>
      <c r="F54" s="15">
        <v>42584.166817769721</v>
      </c>
      <c r="G54" s="15">
        <v>4499.9021385731667</v>
      </c>
      <c r="H54" s="15">
        <v>30110.850000000002</v>
      </c>
      <c r="I54" s="15">
        <v>2846.2758973526165</v>
      </c>
      <c r="J54" s="14">
        <v>212482.05964422686</v>
      </c>
      <c r="K54" s="14">
        <v>8185.4369047692308</v>
      </c>
      <c r="L54" s="15">
        <v>5109.1544266238416</v>
      </c>
    </row>
    <row r="55" spans="1:12" ht="15" customHeight="1" x14ac:dyDescent="0.25">
      <c r="A55" s="18" t="s">
        <v>47</v>
      </c>
      <c r="B55" s="15">
        <v>63.007388232491969</v>
      </c>
      <c r="C55" s="15">
        <v>8.7273137596213424</v>
      </c>
      <c r="D55" s="15">
        <v>4017.3000000000006</v>
      </c>
      <c r="E55" s="15">
        <v>98.527546764555183</v>
      </c>
      <c r="F55" s="15">
        <v>9875.5648232094281</v>
      </c>
      <c r="G55" s="15">
        <v>1043.5586413548026</v>
      </c>
      <c r="H55" s="15">
        <v>9550.8000000000011</v>
      </c>
      <c r="I55" s="15">
        <v>902.80453193567678</v>
      </c>
      <c r="J55" s="14">
        <v>44213.651651210574</v>
      </c>
      <c r="K55" s="14">
        <v>1699.8660713747465</v>
      </c>
      <c r="L55" s="15">
        <v>1064.0416034015166</v>
      </c>
    </row>
    <row r="56" spans="1:12" ht="15.75" thickBot="1" x14ac:dyDescent="0.3">
      <c r="A56" s="3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</row>
    <row r="57" spans="1:12" s="11" customFormat="1" ht="15.75" thickBot="1" x14ac:dyDescent="0.3">
      <c r="A57" s="39" t="s">
        <v>48</v>
      </c>
      <c r="B57" s="37">
        <f t="shared" ref="B57:I57" si="0">SUM(B4:B56)</f>
        <v>65988.576028035881</v>
      </c>
      <c r="C57" s="37">
        <f t="shared" si="0"/>
        <v>13898.924579581479</v>
      </c>
      <c r="D57" s="49">
        <f t="shared" si="0"/>
        <v>2345272.65</v>
      </c>
      <c r="E57" s="37">
        <f t="shared" si="0"/>
        <v>140716.35899999997</v>
      </c>
      <c r="F57" s="50">
        <f t="shared" si="0"/>
        <v>5417687.0462375339</v>
      </c>
      <c r="G57" s="37">
        <f t="shared" si="0"/>
        <v>992346.19678150513</v>
      </c>
      <c r="H57" s="37">
        <f t="shared" si="0"/>
        <v>2526889.0500000007</v>
      </c>
      <c r="I57" s="37">
        <f t="shared" si="0"/>
        <v>524195.06888297887</v>
      </c>
      <c r="J57" s="37">
        <f>SUM(J4:J56)</f>
        <v>23500000</v>
      </c>
      <c r="K57" s="37">
        <f t="shared" ref="K57:L57" si="1">SUM(K4:K56)</f>
        <v>1999999.9999999998</v>
      </c>
      <c r="L57" s="38">
        <f t="shared" si="1"/>
        <v>1250000.0000000009</v>
      </c>
    </row>
    <row r="58" spans="1:12" s="11" customFormat="1" ht="15.75" thickBot="1" x14ac:dyDescent="0.3">
      <c r="A58" s="40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spans="1:12" ht="15.75" thickBot="1" x14ac:dyDescent="0.3">
      <c r="A59" s="45" t="s">
        <v>67</v>
      </c>
      <c r="D59" s="5"/>
      <c r="E59" s="47"/>
      <c r="F59" s="65"/>
      <c r="I59" s="42">
        <v>80</v>
      </c>
      <c r="K59" s="42">
        <v>80</v>
      </c>
    </row>
    <row r="60" spans="1:12" ht="30.75" thickBot="1" x14ac:dyDescent="0.3">
      <c r="A60" s="46" t="s">
        <v>64</v>
      </c>
      <c r="D60" s="5"/>
      <c r="E60" s="47"/>
      <c r="F60" s="65"/>
      <c r="I60" s="42">
        <v>20</v>
      </c>
      <c r="K60" s="42">
        <v>10</v>
      </c>
    </row>
    <row r="61" spans="1:12" ht="15" customHeight="1" x14ac:dyDescent="0.25">
      <c r="A61" s="9"/>
      <c r="D61" s="5"/>
      <c r="E61" s="48"/>
    </row>
    <row r="69" spans="4:5" x14ac:dyDescent="0.25">
      <c r="D69" s="9"/>
      <c r="E69" s="9"/>
    </row>
    <row r="70" spans="4:5" x14ac:dyDescent="0.25">
      <c r="D70" s="5"/>
      <c r="E70" s="6"/>
    </row>
    <row r="71" spans="4:5" x14ac:dyDescent="0.25">
      <c r="D71" s="5"/>
      <c r="E71" s="8"/>
    </row>
    <row r="72" spans="4:5" ht="15" customHeight="1" x14ac:dyDescent="0.25">
      <c r="D72" s="5"/>
    </row>
    <row r="73" spans="4:5" x14ac:dyDescent="0.25">
      <c r="D73" s="7"/>
    </row>
    <row r="83" spans="2:12" ht="15" customHeight="1" x14ac:dyDescent="0.25"/>
    <row r="93" spans="2:12" x14ac:dyDescent="0.25">
      <c r="B93" s="3"/>
      <c r="C93" s="3"/>
      <c r="D93" s="3"/>
      <c r="E93" s="3"/>
    </row>
    <row r="94" spans="2:12" ht="15" customHeight="1" x14ac:dyDescent="0.25">
      <c r="C94" s="4"/>
      <c r="D94" s="4"/>
      <c r="E94" s="2"/>
      <c r="G94" s="3"/>
      <c r="H94" s="3"/>
      <c r="I94" s="3"/>
      <c r="J94" s="3"/>
      <c r="K94" s="3"/>
      <c r="L94" s="3"/>
    </row>
    <row r="95" spans="2:12" x14ac:dyDescent="0.25">
      <c r="H95" s="2"/>
      <c r="I95" s="2"/>
      <c r="J95" s="2"/>
      <c r="K95" s="2"/>
      <c r="L95" s="2"/>
    </row>
    <row r="100" spans="10:11" x14ac:dyDescent="0.25">
      <c r="J100" s="4"/>
      <c r="K100" s="4"/>
    </row>
    <row r="101" spans="10:11" x14ac:dyDescent="0.25">
      <c r="J101" s="4"/>
      <c r="K101" s="4"/>
    </row>
    <row r="102" spans="10:11" x14ac:dyDescent="0.25">
      <c r="J102" s="4"/>
      <c r="K102" s="4"/>
    </row>
    <row r="105" spans="10:11" ht="15" customHeight="1" x14ac:dyDescent="0.25"/>
    <row r="114" spans="2:5" x14ac:dyDescent="0.25">
      <c r="B114" s="3"/>
      <c r="C114" s="3"/>
      <c r="D114" s="3"/>
      <c r="E114" s="3"/>
    </row>
    <row r="115" spans="2:5" x14ac:dyDescent="0.25">
      <c r="C115" s="2"/>
      <c r="D115" s="2"/>
      <c r="E115" s="2"/>
    </row>
    <row r="116" spans="2:5" ht="15" customHeight="1" x14ac:dyDescent="0.25"/>
    <row r="127" spans="2:5" ht="15" customHeight="1" x14ac:dyDescent="0.25"/>
    <row r="138" ht="15" customHeight="1" x14ac:dyDescent="0.25"/>
    <row r="149" ht="15" customHeight="1" x14ac:dyDescent="0.25"/>
    <row r="160" ht="15" customHeight="1" x14ac:dyDescent="0.25"/>
    <row r="171" ht="15" customHeight="1" x14ac:dyDescent="0.25"/>
    <row r="182" ht="15" customHeight="1" x14ac:dyDescent="0.25"/>
    <row r="193" ht="15" customHeight="1" x14ac:dyDescent="0.25"/>
    <row r="204" ht="15" customHeight="1" x14ac:dyDescent="0.25"/>
    <row r="215" ht="15" customHeight="1" x14ac:dyDescent="0.25"/>
    <row r="226" ht="15" customHeight="1" x14ac:dyDescent="0.25"/>
    <row r="237" ht="15" customHeight="1" x14ac:dyDescent="0.25"/>
    <row r="248" ht="15" customHeight="1" x14ac:dyDescent="0.25"/>
    <row r="259" ht="15" customHeight="1" x14ac:dyDescent="0.25"/>
    <row r="270" ht="15" customHeight="1" x14ac:dyDescent="0.25"/>
    <row r="281" ht="15" customHeight="1" x14ac:dyDescent="0.25"/>
    <row r="292" ht="15" customHeight="1" x14ac:dyDescent="0.25"/>
    <row r="303" ht="15" customHeight="1" x14ac:dyDescent="0.25"/>
    <row r="314" ht="15" customHeight="1" x14ac:dyDescent="0.25"/>
    <row r="325" ht="15" customHeight="1" x14ac:dyDescent="0.25"/>
    <row r="336" ht="15" customHeight="1" x14ac:dyDescent="0.25"/>
    <row r="347" ht="15" customHeight="1" x14ac:dyDescent="0.25"/>
    <row r="358" ht="15" customHeight="1" x14ac:dyDescent="0.25"/>
    <row r="369" ht="15" customHeight="1" x14ac:dyDescent="0.25"/>
    <row r="380" ht="15" customHeight="1" x14ac:dyDescent="0.25"/>
    <row r="391" ht="15" customHeight="1" x14ac:dyDescent="0.25"/>
    <row r="402" ht="15" customHeight="1" x14ac:dyDescent="0.25"/>
    <row r="413" ht="15" customHeight="1" x14ac:dyDescent="0.25"/>
    <row r="424" ht="15" customHeight="1" x14ac:dyDescent="0.25"/>
    <row r="435" ht="15" customHeight="1" x14ac:dyDescent="0.25"/>
    <row r="446" ht="15" customHeight="1" x14ac:dyDescent="0.25"/>
    <row r="457" ht="15" customHeight="1" x14ac:dyDescent="0.25"/>
  </sheetData>
  <autoFilter ref="A3:L3" xr:uid="{00000000-0009-0000-0000-000003000000}"/>
  <mergeCells count="8">
    <mergeCell ref="A1:A2"/>
    <mergeCell ref="B1:L1"/>
    <mergeCell ref="F59:F60"/>
    <mergeCell ref="B2:C2"/>
    <mergeCell ref="D2:E2"/>
    <mergeCell ref="F2:G2"/>
    <mergeCell ref="H2:I2"/>
    <mergeCell ref="J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2018-FlotaR</vt:lpstr>
      <vt:lpstr>E3-2022-Flota R</vt:lpstr>
      <vt:lpstr>E3-2025-Flota R</vt:lpstr>
      <vt:lpstr>E3-2030-Flota R</vt:lpstr>
    </vt:vector>
  </TitlesOfParts>
  <Company>Iberdrola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Mancebo, Raul</dc:creator>
  <cp:lastModifiedBy>Goitia Barrenetxea, Uxue</cp:lastModifiedBy>
  <dcterms:created xsi:type="dcterms:W3CDTF">2019-10-08T14:41:54Z</dcterms:created>
  <dcterms:modified xsi:type="dcterms:W3CDTF">2019-10-10T11:39:20Z</dcterms:modified>
</cp:coreProperties>
</file>